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NFSEGv1_1\Workspace_PEST_case006e_UPD\pest_postproc\rerunCBB\water_budget_rerun\"/>
    </mc:Choice>
  </mc:AlternateContent>
  <bookViews>
    <workbookView xWindow="0" yWindow="0" windowWidth="24000" windowHeight="9510" activeTab="3"/>
  </bookViews>
  <sheets>
    <sheet name="cbb_table.2001.dat" sheetId="9" r:id="rId1"/>
    <sheet name="springflow.table.2001.dat" sheetId="10" r:id="rId2"/>
    <sheet name="WATER BUDGET TABLE 2001" sheetId="8" r:id="rId3"/>
    <sheet name="RUN" sheetId="11" r:id="rId4"/>
  </sheets>
  <calcPr calcId="171027"/>
</workbook>
</file>

<file path=xl/calcChain.xml><?xml version="1.0" encoding="utf-8"?>
<calcChain xmlns="http://schemas.openxmlformats.org/spreadsheetml/2006/main">
  <c r="S41" i="8" l="1"/>
  <c r="R41" i="8"/>
  <c r="G10" i="8"/>
  <c r="G46" i="8" s="1"/>
  <c r="F10" i="8"/>
  <c r="F46" i="8" s="1"/>
  <c r="G9" i="8"/>
  <c r="G45" i="8" s="1"/>
  <c r="F9" i="8"/>
  <c r="F45" i="8" s="1"/>
  <c r="G8" i="8"/>
  <c r="G44" i="8" s="1"/>
  <c r="F8" i="8"/>
  <c r="F44" i="8" s="1"/>
  <c r="G7" i="8"/>
  <c r="G43" i="8" s="1"/>
  <c r="F7" i="8"/>
  <c r="F43" i="8" s="1"/>
  <c r="G6" i="8"/>
  <c r="G42" i="8" s="1"/>
  <c r="F6" i="8"/>
  <c r="F42" i="8" s="1"/>
  <c r="G5" i="8"/>
  <c r="G41" i="8" s="1"/>
  <c r="F5" i="8"/>
  <c r="F41" i="8" s="1"/>
  <c r="G4" i="8"/>
  <c r="G40" i="8" s="1"/>
  <c r="F4" i="8"/>
  <c r="F40" i="8" s="1"/>
  <c r="S10" i="8"/>
  <c r="S46" i="8" s="1"/>
  <c r="R10" i="8"/>
  <c r="R46" i="8" s="1"/>
  <c r="Q10" i="8"/>
  <c r="Q11" i="8" s="1"/>
  <c r="Q47" i="8" s="1"/>
  <c r="P10" i="8"/>
  <c r="P11" i="8" s="1"/>
  <c r="P47" i="8" s="1"/>
  <c r="O10" i="8"/>
  <c r="O46" i="8" s="1"/>
  <c r="N10" i="8"/>
  <c r="N46" i="8" s="1"/>
  <c r="M10" i="8"/>
  <c r="M46" i="8" s="1"/>
  <c r="L10" i="8"/>
  <c r="L46" i="8" s="1"/>
  <c r="K10" i="8"/>
  <c r="K46" i="8" s="1"/>
  <c r="J10" i="8"/>
  <c r="J46" i="8" s="1"/>
  <c r="I10" i="8"/>
  <c r="I46" i="8" s="1"/>
  <c r="H10" i="8"/>
  <c r="H46" i="8" s="1"/>
  <c r="E10" i="8"/>
  <c r="E46" i="8" s="1"/>
  <c r="D10" i="8"/>
  <c r="D46" i="8" s="1"/>
  <c r="C10" i="8"/>
  <c r="C46" i="8" s="1"/>
  <c r="B10" i="8"/>
  <c r="B46" i="8" s="1"/>
  <c r="S9" i="8"/>
  <c r="S45" i="8" s="1"/>
  <c r="R9" i="8"/>
  <c r="R45" i="8" s="1"/>
  <c r="Q9" i="8"/>
  <c r="Q45" i="8" s="1"/>
  <c r="P9" i="8"/>
  <c r="P45" i="8" s="1"/>
  <c r="O9" i="8"/>
  <c r="O45" i="8" s="1"/>
  <c r="N9" i="8"/>
  <c r="N45" i="8" s="1"/>
  <c r="M9" i="8"/>
  <c r="M45" i="8" s="1"/>
  <c r="L9" i="8"/>
  <c r="L45" i="8" s="1"/>
  <c r="K9" i="8"/>
  <c r="K45" i="8" s="1"/>
  <c r="J9" i="8"/>
  <c r="J45" i="8" s="1"/>
  <c r="I9" i="8"/>
  <c r="I45" i="8" s="1"/>
  <c r="H9" i="8"/>
  <c r="H45" i="8" s="1"/>
  <c r="E9" i="8"/>
  <c r="E45" i="8" s="1"/>
  <c r="D9" i="8"/>
  <c r="D45" i="8" s="1"/>
  <c r="C9" i="8"/>
  <c r="C45" i="8" s="1"/>
  <c r="B9" i="8"/>
  <c r="B45" i="8" s="1"/>
  <c r="S8" i="8"/>
  <c r="S44" i="8" s="1"/>
  <c r="R8" i="8"/>
  <c r="R44" i="8" s="1"/>
  <c r="Q8" i="8"/>
  <c r="Q44" i="8" s="1"/>
  <c r="P8" i="8"/>
  <c r="P44" i="8" s="1"/>
  <c r="O8" i="8"/>
  <c r="O44" i="8" s="1"/>
  <c r="N8" i="8"/>
  <c r="N44" i="8" s="1"/>
  <c r="M8" i="8"/>
  <c r="M44" i="8" s="1"/>
  <c r="L8" i="8"/>
  <c r="L44" i="8" s="1"/>
  <c r="K8" i="8"/>
  <c r="K44" i="8" s="1"/>
  <c r="J8" i="8"/>
  <c r="J44" i="8" s="1"/>
  <c r="I8" i="8"/>
  <c r="I44" i="8" s="1"/>
  <c r="H8" i="8"/>
  <c r="H44" i="8" s="1"/>
  <c r="E8" i="8"/>
  <c r="E44" i="8" s="1"/>
  <c r="D8" i="8"/>
  <c r="D44" i="8" s="1"/>
  <c r="C8" i="8"/>
  <c r="C44" i="8" s="1"/>
  <c r="B8" i="8"/>
  <c r="B44" i="8" s="1"/>
  <c r="S7" i="8"/>
  <c r="S43" i="8" s="1"/>
  <c r="R7" i="8"/>
  <c r="R43" i="8" s="1"/>
  <c r="Q7" i="8"/>
  <c r="Q43" i="8" s="1"/>
  <c r="P7" i="8"/>
  <c r="P43" i="8" s="1"/>
  <c r="O7" i="8"/>
  <c r="O43" i="8" s="1"/>
  <c r="N7" i="8"/>
  <c r="N43" i="8" s="1"/>
  <c r="M7" i="8"/>
  <c r="M43" i="8" s="1"/>
  <c r="L7" i="8"/>
  <c r="L43" i="8" s="1"/>
  <c r="K7" i="8"/>
  <c r="K43" i="8" s="1"/>
  <c r="J7" i="8"/>
  <c r="J43" i="8" s="1"/>
  <c r="I7" i="8"/>
  <c r="I43" i="8" s="1"/>
  <c r="H7" i="8"/>
  <c r="H43" i="8" s="1"/>
  <c r="E7" i="8"/>
  <c r="E43" i="8" s="1"/>
  <c r="D7" i="8"/>
  <c r="D43" i="8" s="1"/>
  <c r="C7" i="8"/>
  <c r="C43" i="8" s="1"/>
  <c r="B7" i="8"/>
  <c r="B43" i="8" s="1"/>
  <c r="S6" i="8"/>
  <c r="S42" i="8" s="1"/>
  <c r="R6" i="8"/>
  <c r="R42" i="8" s="1"/>
  <c r="Q6" i="8"/>
  <c r="Q42" i="8" s="1"/>
  <c r="P6" i="8"/>
  <c r="P42" i="8" s="1"/>
  <c r="O6" i="8"/>
  <c r="O42" i="8" s="1"/>
  <c r="N6" i="8"/>
  <c r="N42" i="8" s="1"/>
  <c r="M6" i="8"/>
  <c r="M42" i="8" s="1"/>
  <c r="L6" i="8"/>
  <c r="L42" i="8" s="1"/>
  <c r="K6" i="8"/>
  <c r="K42" i="8" s="1"/>
  <c r="J6" i="8"/>
  <c r="J42" i="8" s="1"/>
  <c r="I6" i="8"/>
  <c r="I42" i="8" s="1"/>
  <c r="H6" i="8"/>
  <c r="H42" i="8" s="1"/>
  <c r="E6" i="8"/>
  <c r="E42" i="8" s="1"/>
  <c r="D6" i="8"/>
  <c r="D42" i="8" s="1"/>
  <c r="C6" i="8"/>
  <c r="C42" i="8" s="1"/>
  <c r="B6" i="8"/>
  <c r="B42" i="8" s="1"/>
  <c r="Q5" i="8"/>
  <c r="Q41" i="8" s="1"/>
  <c r="P5" i="8"/>
  <c r="P41" i="8" s="1"/>
  <c r="O5" i="8"/>
  <c r="O41" i="8" s="1"/>
  <c r="N5" i="8"/>
  <c r="N41" i="8" s="1"/>
  <c r="M5" i="8"/>
  <c r="M41" i="8" s="1"/>
  <c r="L5" i="8"/>
  <c r="L41" i="8" s="1"/>
  <c r="K5" i="8"/>
  <c r="K41" i="8" s="1"/>
  <c r="J5" i="8"/>
  <c r="J41" i="8" s="1"/>
  <c r="I5" i="8"/>
  <c r="I41" i="8" s="1"/>
  <c r="H5" i="8"/>
  <c r="H41" i="8" s="1"/>
  <c r="E5" i="8"/>
  <c r="E41" i="8" s="1"/>
  <c r="D5" i="8"/>
  <c r="D41" i="8" s="1"/>
  <c r="C5" i="8"/>
  <c r="C41" i="8" s="1"/>
  <c r="B5" i="8"/>
  <c r="B41" i="8" s="1"/>
  <c r="S4" i="8"/>
  <c r="S40" i="8" s="1"/>
  <c r="R4" i="8"/>
  <c r="Q4" i="8"/>
  <c r="Q40" i="8" s="1"/>
  <c r="P4" i="8"/>
  <c r="P40" i="8" s="1"/>
  <c r="O4" i="8"/>
  <c r="O11" i="8" s="1"/>
  <c r="O47" i="8" s="1"/>
  <c r="N4" i="8"/>
  <c r="N11" i="8" s="1"/>
  <c r="N47" i="8" s="1"/>
  <c r="M4" i="8"/>
  <c r="M40" i="8" s="1"/>
  <c r="L4" i="8"/>
  <c r="L40" i="8" s="1"/>
  <c r="K4" i="8"/>
  <c r="K40" i="8" s="1"/>
  <c r="J4" i="8"/>
  <c r="J40" i="8" s="1"/>
  <c r="I4" i="8"/>
  <c r="I40" i="8" s="1"/>
  <c r="H4" i="8"/>
  <c r="H40" i="8" s="1"/>
  <c r="E4" i="8"/>
  <c r="E40" i="8" s="1"/>
  <c r="D4" i="8"/>
  <c r="D40" i="8" s="1"/>
  <c r="C4" i="8"/>
  <c r="C40" i="8" s="1"/>
  <c r="B4" i="8"/>
  <c r="B40" i="8" s="1"/>
  <c r="R11" i="8" l="1"/>
  <c r="R47" i="8" s="1"/>
  <c r="O40" i="8"/>
  <c r="N40" i="8"/>
  <c r="S11" i="8"/>
  <c r="S47" i="8" s="1"/>
  <c r="R40" i="8"/>
  <c r="P46" i="8"/>
  <c r="Q46" i="8"/>
  <c r="H34" i="8"/>
  <c r="G34" i="8"/>
  <c r="F31" i="8"/>
  <c r="Q29" i="8"/>
  <c r="P22" i="8"/>
  <c r="O22" i="8"/>
  <c r="I17" i="8"/>
  <c r="H17" i="8"/>
  <c r="M16" i="8"/>
  <c r="G22" i="8"/>
  <c r="Q20" i="8"/>
  <c r="I32" i="8"/>
  <c r="N19" i="8"/>
  <c r="F19" i="8"/>
  <c r="T7" i="8"/>
  <c r="T43" i="8" s="1"/>
  <c r="F18" i="8"/>
  <c r="U6" i="8"/>
  <c r="U42" i="8" s="1"/>
  <c r="S17" i="8"/>
  <c r="K17" i="8"/>
  <c r="H29" i="8"/>
  <c r="P16" i="8"/>
  <c r="N16" i="8"/>
  <c r="U4" i="8"/>
  <c r="U40" i="8" s="1"/>
  <c r="H16" i="8"/>
  <c r="F28" i="8"/>
  <c r="E16" i="8"/>
  <c r="J11" i="8" l="1"/>
  <c r="J47" i="8" s="1"/>
  <c r="K11" i="8"/>
  <c r="K47" i="8" s="1"/>
  <c r="E28" i="8"/>
  <c r="G31" i="8"/>
  <c r="F16" i="8"/>
  <c r="K18" i="8"/>
  <c r="N31" i="8"/>
  <c r="E11" i="8"/>
  <c r="E47" i="8" s="1"/>
  <c r="C30" i="8"/>
  <c r="M11" i="8"/>
  <c r="M47" i="8" s="1"/>
  <c r="M28" i="8"/>
  <c r="O31" i="8"/>
  <c r="Q32" i="8"/>
  <c r="T4" i="8"/>
  <c r="O19" i="8"/>
  <c r="N28" i="8"/>
  <c r="D21" i="8"/>
  <c r="P29" i="8"/>
  <c r="R32" i="8"/>
  <c r="E21" i="8"/>
  <c r="I31" i="8"/>
  <c r="I19" i="8"/>
  <c r="Q19" i="8"/>
  <c r="Q31" i="8"/>
  <c r="N30" i="8"/>
  <c r="T9" i="8"/>
  <c r="T45" i="8" s="1"/>
  <c r="L18" i="8"/>
  <c r="D33" i="8"/>
  <c r="O34" i="8"/>
  <c r="U9" i="8"/>
  <c r="U45" i="8" s="1"/>
  <c r="P17" i="8"/>
  <c r="N18" i="8"/>
  <c r="B20" i="8"/>
  <c r="M21" i="8"/>
  <c r="D30" i="8"/>
  <c r="E33" i="8"/>
  <c r="P34" i="8"/>
  <c r="F11" i="8"/>
  <c r="F47" i="8" s="1"/>
  <c r="T5" i="8"/>
  <c r="T41" i="8" s="1"/>
  <c r="B34" i="8"/>
  <c r="T10" i="8"/>
  <c r="T46" i="8" s="1"/>
  <c r="B22" i="8"/>
  <c r="J22" i="8"/>
  <c r="J34" i="8"/>
  <c r="R22" i="8"/>
  <c r="R34" i="8"/>
  <c r="Q17" i="8"/>
  <c r="S18" i="8"/>
  <c r="I20" i="8"/>
  <c r="U28" i="8"/>
  <c r="K30" i="8"/>
  <c r="L33" i="8"/>
  <c r="T31" i="8"/>
  <c r="T19" i="8"/>
  <c r="L21" i="8"/>
  <c r="K29" i="8"/>
  <c r="O33" i="8"/>
  <c r="O21" i="8"/>
  <c r="U16" i="8"/>
  <c r="J20" i="8"/>
  <c r="L30" i="8"/>
  <c r="B32" i="8"/>
  <c r="M33" i="8"/>
  <c r="H11" i="8"/>
  <c r="H28" i="8"/>
  <c r="P28" i="8"/>
  <c r="U8" i="8"/>
  <c r="U44" i="8" s="1"/>
  <c r="B11" i="8"/>
  <c r="C18" i="8"/>
  <c r="S30" i="8"/>
  <c r="T6" i="8"/>
  <c r="T42" i="8" s="1"/>
  <c r="F30" i="8"/>
  <c r="U7" i="8"/>
  <c r="U43" i="8" s="1"/>
  <c r="G11" i="8"/>
  <c r="G47" i="8" s="1"/>
  <c r="U5" i="8"/>
  <c r="U41" i="8" s="1"/>
  <c r="C29" i="8"/>
  <c r="S29" i="8"/>
  <c r="G21" i="8"/>
  <c r="G33" i="8"/>
  <c r="U10" i="8"/>
  <c r="U46" i="8" s="1"/>
  <c r="I11" i="8"/>
  <c r="U30" i="8"/>
  <c r="U18" i="8"/>
  <c r="D32" i="8"/>
  <c r="D20" i="8"/>
  <c r="L32" i="8"/>
  <c r="L20" i="8"/>
  <c r="T8" i="8"/>
  <c r="T44" i="8" s="1"/>
  <c r="C11" i="8"/>
  <c r="C17" i="8"/>
  <c r="D18" i="8"/>
  <c r="G19" i="8"/>
  <c r="R20" i="8"/>
  <c r="H22" i="8"/>
  <c r="I29" i="8"/>
  <c r="J32" i="8"/>
  <c r="D11" i="8"/>
  <c r="D47" i="8" s="1"/>
  <c r="L11" i="8"/>
  <c r="L47" i="8" s="1"/>
  <c r="G16" i="8"/>
  <c r="O16" i="8"/>
  <c r="B17" i="8"/>
  <c r="J17" i="8"/>
  <c r="R17" i="8"/>
  <c r="E18" i="8"/>
  <c r="M18" i="8"/>
  <c r="H19" i="8"/>
  <c r="P19" i="8"/>
  <c r="C20" i="8"/>
  <c r="K20" i="8"/>
  <c r="S20" i="8"/>
  <c r="F21" i="8"/>
  <c r="N21" i="8"/>
  <c r="I22" i="8"/>
  <c r="Q22" i="8"/>
  <c r="G28" i="8"/>
  <c r="O28" i="8"/>
  <c r="B29" i="8"/>
  <c r="J29" i="8"/>
  <c r="R29" i="8"/>
  <c r="E30" i="8"/>
  <c r="M30" i="8"/>
  <c r="H31" i="8"/>
  <c r="P31" i="8"/>
  <c r="C32" i="8"/>
  <c r="K32" i="8"/>
  <c r="S32" i="8"/>
  <c r="F33" i="8"/>
  <c r="N33" i="8"/>
  <c r="I34" i="8"/>
  <c r="Q34" i="8"/>
  <c r="I16" i="8"/>
  <c r="Q16" i="8"/>
  <c r="D17" i="8"/>
  <c r="L17" i="8"/>
  <c r="G18" i="8"/>
  <c r="O18" i="8"/>
  <c r="B19" i="8"/>
  <c r="J19" i="8"/>
  <c r="R19" i="8"/>
  <c r="E20" i="8"/>
  <c r="M20" i="8"/>
  <c r="H21" i="8"/>
  <c r="P21" i="8"/>
  <c r="C22" i="8"/>
  <c r="K22" i="8"/>
  <c r="S22" i="8"/>
  <c r="I28" i="8"/>
  <c r="Q28" i="8"/>
  <c r="D29" i="8"/>
  <c r="L29" i="8"/>
  <c r="G30" i="8"/>
  <c r="O30" i="8"/>
  <c r="B31" i="8"/>
  <c r="J31" i="8"/>
  <c r="R31" i="8"/>
  <c r="E32" i="8"/>
  <c r="M32" i="8"/>
  <c r="H33" i="8"/>
  <c r="P33" i="8"/>
  <c r="C34" i="8"/>
  <c r="K34" i="8"/>
  <c r="S34" i="8"/>
  <c r="B16" i="8"/>
  <c r="J16" i="8"/>
  <c r="R16" i="8"/>
  <c r="E17" i="8"/>
  <c r="M17" i="8"/>
  <c r="H18" i="8"/>
  <c r="P18" i="8"/>
  <c r="C19" i="8"/>
  <c r="K19" i="8"/>
  <c r="S19" i="8"/>
  <c r="F20" i="8"/>
  <c r="N20" i="8"/>
  <c r="I21" i="8"/>
  <c r="Q21" i="8"/>
  <c r="D22" i="8"/>
  <c r="L22" i="8"/>
  <c r="B28" i="8"/>
  <c r="J28" i="8"/>
  <c r="R28" i="8"/>
  <c r="E29" i="8"/>
  <c r="M29" i="8"/>
  <c r="H30" i="8"/>
  <c r="P30" i="8"/>
  <c r="C31" i="8"/>
  <c r="K31" i="8"/>
  <c r="S31" i="8"/>
  <c r="F32" i="8"/>
  <c r="N32" i="8"/>
  <c r="I33" i="8"/>
  <c r="Q33" i="8"/>
  <c r="D34" i="8"/>
  <c r="L34" i="8"/>
  <c r="C16" i="8"/>
  <c r="K16" i="8"/>
  <c r="S16" i="8"/>
  <c r="F17" i="8"/>
  <c r="N17" i="8"/>
  <c r="I18" i="8"/>
  <c r="Q18" i="8"/>
  <c r="D19" i="8"/>
  <c r="L19" i="8"/>
  <c r="G20" i="8"/>
  <c r="O20" i="8"/>
  <c r="B21" i="8"/>
  <c r="J21" i="8"/>
  <c r="R21" i="8"/>
  <c r="E22" i="8"/>
  <c r="M22" i="8"/>
  <c r="C28" i="8"/>
  <c r="K28" i="8"/>
  <c r="S28" i="8"/>
  <c r="F29" i="8"/>
  <c r="N29" i="8"/>
  <c r="I30" i="8"/>
  <c r="Q30" i="8"/>
  <c r="D31" i="8"/>
  <c r="L31" i="8"/>
  <c r="G32" i="8"/>
  <c r="O32" i="8"/>
  <c r="B33" i="8"/>
  <c r="J33" i="8"/>
  <c r="R33" i="8"/>
  <c r="E34" i="8"/>
  <c r="M34" i="8"/>
  <c r="D16" i="8"/>
  <c r="L16" i="8"/>
  <c r="G17" i="8"/>
  <c r="O17" i="8"/>
  <c r="B18" i="8"/>
  <c r="J18" i="8"/>
  <c r="R18" i="8"/>
  <c r="E19" i="8"/>
  <c r="M19" i="8"/>
  <c r="H20" i="8"/>
  <c r="P20" i="8"/>
  <c r="C21" i="8"/>
  <c r="K21" i="8"/>
  <c r="S21" i="8"/>
  <c r="F22" i="8"/>
  <c r="N22" i="8"/>
  <c r="D28" i="8"/>
  <c r="L28" i="8"/>
  <c r="G29" i="8"/>
  <c r="O29" i="8"/>
  <c r="B30" i="8"/>
  <c r="J30" i="8"/>
  <c r="R30" i="8"/>
  <c r="E31" i="8"/>
  <c r="M31" i="8"/>
  <c r="H32" i="8"/>
  <c r="P32" i="8"/>
  <c r="C33" i="8"/>
  <c r="K33" i="8"/>
  <c r="S33" i="8"/>
  <c r="F34" i="8"/>
  <c r="N34" i="8"/>
  <c r="T11" i="8" l="1"/>
  <c r="T47" i="8" s="1"/>
  <c r="B47" i="8"/>
  <c r="E23" i="8"/>
  <c r="U11" i="8"/>
  <c r="U47" i="8" s="1"/>
  <c r="C47" i="8"/>
  <c r="V4" i="8"/>
  <c r="V40" i="8" s="1"/>
  <c r="T40" i="8"/>
  <c r="I47" i="8"/>
  <c r="H47" i="8"/>
  <c r="M35" i="8"/>
  <c r="K35" i="8"/>
  <c r="T16" i="8"/>
  <c r="T28" i="8"/>
  <c r="J35" i="8"/>
  <c r="E35" i="8"/>
  <c r="M23" i="8"/>
  <c r="K23" i="8"/>
  <c r="J23" i="8"/>
  <c r="H35" i="8"/>
  <c r="H23" i="8"/>
  <c r="N35" i="8"/>
  <c r="N23" i="8"/>
  <c r="D35" i="8"/>
  <c r="D23" i="8"/>
  <c r="G35" i="8"/>
  <c r="G23" i="8"/>
  <c r="B35" i="8"/>
  <c r="B23" i="8"/>
  <c r="R35" i="8"/>
  <c r="R23" i="8"/>
  <c r="L35" i="8"/>
  <c r="L23" i="8"/>
  <c r="U34" i="8"/>
  <c r="U22" i="8"/>
  <c r="U31" i="8"/>
  <c r="U19" i="8"/>
  <c r="U32" i="8"/>
  <c r="U20" i="8"/>
  <c r="F35" i="8"/>
  <c r="F23" i="8"/>
  <c r="P35" i="8"/>
  <c r="P23" i="8"/>
  <c r="O35" i="8"/>
  <c r="O23" i="8"/>
  <c r="C35" i="8"/>
  <c r="C23" i="8"/>
  <c r="U33" i="8"/>
  <c r="U21" i="8"/>
  <c r="T20" i="8"/>
  <c r="V8" i="8"/>
  <c r="V44" i="8" s="1"/>
  <c r="T32" i="8"/>
  <c r="V10" i="8"/>
  <c r="V46" i="8" s="1"/>
  <c r="T34" i="8"/>
  <c r="T22" i="8"/>
  <c r="Q35" i="8"/>
  <c r="Q23" i="8"/>
  <c r="T30" i="8"/>
  <c r="T18" i="8"/>
  <c r="V6" i="8"/>
  <c r="V42" i="8" s="1"/>
  <c r="V5" i="8"/>
  <c r="V41" i="8" s="1"/>
  <c r="T29" i="8"/>
  <c r="T17" i="8"/>
  <c r="I35" i="8"/>
  <c r="I23" i="8"/>
  <c r="U29" i="8"/>
  <c r="U17" i="8"/>
  <c r="S35" i="8"/>
  <c r="S23" i="8"/>
  <c r="V9" i="8"/>
  <c r="V45" i="8" s="1"/>
  <c r="T33" i="8"/>
  <c r="T21" i="8"/>
  <c r="V7" i="8"/>
  <c r="V43" i="8" s="1"/>
  <c r="V16" i="8" l="1"/>
  <c r="V28" i="8"/>
  <c r="T35" i="8"/>
  <c r="T23" i="8"/>
  <c r="U35" i="8"/>
  <c r="U23" i="8"/>
  <c r="V29" i="8"/>
  <c r="V17" i="8"/>
  <c r="V33" i="8"/>
  <c r="V21" i="8"/>
  <c r="V30" i="8"/>
  <c r="V18" i="8"/>
  <c r="V34" i="8"/>
  <c r="V22" i="8"/>
  <c r="V32" i="8"/>
  <c r="V20" i="8"/>
  <c r="V19" i="8"/>
  <c r="V31" i="8"/>
  <c r="V11" i="8"/>
  <c r="V47" i="8" s="1"/>
  <c r="V35" i="8" l="1"/>
  <c r="V23" i="8"/>
</calcChain>
</file>

<file path=xl/sharedStrings.xml><?xml version="1.0" encoding="utf-8"?>
<sst xmlns="http://schemas.openxmlformats.org/spreadsheetml/2006/main" count="163" uniqueCount="46">
  <si>
    <t>LAYER</t>
  </si>
  <si>
    <t>BALANCE</t>
  </si>
  <si>
    <t>Layer</t>
  </si>
  <si>
    <t>Recharge</t>
  </si>
  <si>
    <t>ET</t>
  </si>
  <si>
    <t>Springs (GHB)</t>
  </si>
  <si>
    <t>Rivers and Drains</t>
  </si>
  <si>
    <t>Constant Head</t>
  </si>
  <si>
    <t>Upward leakage</t>
  </si>
  <si>
    <t>Downward leakage</t>
  </si>
  <si>
    <t>Lateral Leakage (GHB)</t>
  </si>
  <si>
    <t>Total</t>
  </si>
  <si>
    <t>Inflow</t>
  </si>
  <si>
    <t>Outflow</t>
  </si>
  <si>
    <t>Net</t>
  </si>
  <si>
    <t>MODEL</t>
  </si>
  <si>
    <t>MODEL*</t>
  </si>
  <si>
    <t>* Active SAS model area is used to evaluate the model water budget in units of inches per year (IPY)</t>
  </si>
  <si>
    <t>MNW2_outflow</t>
  </si>
  <si>
    <t>MNW2_inflow</t>
  </si>
  <si>
    <t>RECHARGE_outflow</t>
  </si>
  <si>
    <t>RECHARGE_inflow</t>
  </si>
  <si>
    <t>HEAD_DEP_BOUNDS_outflow</t>
  </si>
  <si>
    <t>HEAD_DEP_BOUNDS_inflow</t>
  </si>
  <si>
    <t>ET_outflow</t>
  </si>
  <si>
    <t>ET_inflow</t>
  </si>
  <si>
    <t>RIVER_LEAKAGE_outflow</t>
  </si>
  <si>
    <t>RIVER_LEAKAGE_inflow</t>
  </si>
  <si>
    <t>DRAINS_outflow</t>
  </si>
  <si>
    <t>DRAINS_inflow</t>
  </si>
  <si>
    <t>WELLS_outflow</t>
  </si>
  <si>
    <t>WELLS_inflow</t>
  </si>
  <si>
    <t>CONSTANT_HEAD_outflow</t>
  </si>
  <si>
    <t>CONSTANT_HEAD_inflow</t>
  </si>
  <si>
    <t>FLOW_LOWER_FACE_outflow</t>
  </si>
  <si>
    <t>FLOW_LOWER_FACE_inflow</t>
  </si>
  <si>
    <t>FLOW_UPPER_FACE_outflow</t>
  </si>
  <si>
    <t>FLOW_UPPER_FACE_inflow</t>
  </si>
  <si>
    <t>COUNT_ACTIVE_CELLS</t>
  </si>
  <si>
    <t>SPRINGS_outflow</t>
  </si>
  <si>
    <t>SPRINGS_inflow</t>
  </si>
  <si>
    <t>Wells</t>
  </si>
  <si>
    <t>NFSEG WATER BUDGET TABLE: 2001 (CFS)</t>
  </si>
  <si>
    <t>NFSEG WATER BUDGET TABLE: 2001 (MGD)</t>
  </si>
  <si>
    <t>NFSEG WATER BUDGET TABLE: 2001 (IPY)</t>
  </si>
  <si>
    <t>NFSEG WATER BUDGET TABLE: 2001 (CFD)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</si>
</sst>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0" fontId="2" fillId="2" borderId="0"/>
  </cellStyleXfs>
  <cellXfs count="31">
    <xf numFmtId="0" fontId="0" fillId="0" borderId="0" xfId="0"/>
    <xf numFmtId="0" fontId="0" fillId="0" borderId="5" xfId="0" applyBorder="1"/>
    <xf numFmtId="0" fontId="0" fillId="0" borderId="7" xfId="0" applyBorder="1"/>
    <xf numFmtId="0" fontId="0" fillId="0" borderId="10" xfId="0" applyBorder="1"/>
    <xf numFmtId="0" fontId="0" fillId="0" borderId="13" xfId="0" applyBorder="1"/>
    <xf numFmtId="0" fontId="0" fillId="5" borderId="5" xfId="0" applyFill="1" applyBorder="1"/>
    <xf numFmtId="0" fontId="1" fillId="4" borderId="16" xfId="0" applyFont="1" applyFill="1" applyBorder="1"/>
    <xf numFmtId="0" fontId="1" fillId="3" borderId="0" xfId="0" applyFont="1" applyFill="1"/>
    <xf numFmtId="0" fontId="0" fillId="3" borderId="0" xfId="0" applyFill="1"/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3" fontId="0" fillId="0" borderId="11" xfId="0" applyNumberFormat="1" applyBorder="1"/>
    <xf numFmtId="3" fontId="0" fillId="0" borderId="12" xfId="0" applyNumberFormat="1" applyBorder="1"/>
    <xf numFmtId="3" fontId="0" fillId="5" borderId="1" xfId="0" applyNumberFormat="1" applyFill="1" applyBorder="1"/>
    <xf numFmtId="3" fontId="0" fillId="5" borderId="6" xfId="0" applyNumberFormat="1" applyFill="1" applyBorder="1"/>
    <xf numFmtId="3" fontId="0" fillId="0" borderId="1" xfId="0" applyNumberFormat="1" applyBorder="1"/>
    <xf numFmtId="3" fontId="0" fillId="0" borderId="6" xfId="0" applyNumberFormat="1" applyBorder="1"/>
    <xf numFmtId="3" fontId="0" fillId="0" borderId="14" xfId="0" applyNumberFormat="1" applyBorder="1"/>
    <xf numFmtId="3" fontId="0" fillId="0" borderId="15" xfId="0" applyNumberFormat="1" applyBorder="1"/>
    <xf numFmtId="3" fontId="1" fillId="4" borderId="17" xfId="0" applyNumberFormat="1" applyFont="1" applyFill="1" applyBorder="1"/>
    <xf numFmtId="3" fontId="1" fillId="4" borderId="18" xfId="0" applyNumberFormat="1" applyFont="1" applyFill="1" applyBorder="1"/>
    <xf numFmtId="164" fontId="0" fillId="0" borderId="11" xfId="0" applyNumberFormat="1" applyBorder="1"/>
    <xf numFmtId="0" fontId="2" fillId="2" borderId="0" xfId="1"/>
    <xf numFmtId="164" fontId="0" fillId="5" borderId="5" xfId="0" applyNumberFormat="1" applyFill="1" applyBorder="1"/>
    <xf numFmtId="164" fontId="1" fillId="4" borderId="17" xfId="0" applyNumberFormat="1" applyFont="1" applyFill="1" applyBorder="1"/>
    <xf numFmtId="0" fontId="1" fillId="4" borderId="3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19050</xdr:rowOff>
    </xdr:from>
    <xdr:to>
      <xdr:col>6</xdr:col>
      <xdr:colOff>266700</xdr:colOff>
      <xdr:row>11</xdr:row>
      <xdr:rowOff>47625</xdr:rowOff>
    </xdr:to>
    <xdr:sp macro="[0]!ImportDat01" textlink="">
      <xdr:nvSpPr>
        <xdr:cNvPr id="2" name="Rectangle 1">
          <a:extLst>
            <a:ext uri="{FF2B5EF4-FFF2-40B4-BE49-F238E27FC236}">
              <a16:creationId xmlns:a16="http://schemas.microsoft.com/office/drawing/2014/main" id="{87CA554E-3BA8-48B6-9B58-CCFB0606BED1}"/>
            </a:ext>
          </a:extLst>
        </xdr:cNvPr>
        <xdr:cNvSpPr/>
      </xdr:nvSpPr>
      <xdr:spPr>
        <a:xfrm>
          <a:off x="742950" y="400050"/>
          <a:ext cx="3181350" cy="1743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run: </a:t>
          </a:r>
        </a:p>
        <a:p>
          <a:pPr algn="l"/>
          <a:endParaRPr lang="en-US" sz="1100"/>
        </a:p>
        <a:p>
          <a:pPr algn="l"/>
          <a:r>
            <a:rPr lang="en-US" sz="1100"/>
            <a:t>ImportDat01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8"/>
  <sheetViews>
    <sheetView workbookViewId="0"/>
  </sheetViews>
  <sheetFormatPr defaultRowHeight="15" x14ac:dyDescent="0.25"/>
  <cols>
    <col min="1" max="1" width="9.140625" style="22"/>
    <col min="2" max="23" width="30.7109375" style="22" customWidth="1"/>
    <col min="24" max="16384" width="9.140625" style="22"/>
  </cols>
  <sheetData>
    <row r="1" spans="1:23" x14ac:dyDescent="0.25">
      <c r="A1" t="s">
        <v>0</v>
      </c>
      <c r="B1" t="s">
        <v>38</v>
      </c>
      <c r="C1" t="s">
        <v>37</v>
      </c>
      <c r="D1" t="s">
        <v>36</v>
      </c>
      <c r="E1" t="s">
        <v>35</v>
      </c>
      <c r="F1" t="s">
        <v>34</v>
      </c>
      <c r="G1" t="s">
        <v>33</v>
      </c>
      <c r="H1" t="s">
        <v>32</v>
      </c>
      <c r="I1" t="s">
        <v>31</v>
      </c>
      <c r="J1" t="s">
        <v>30</v>
      </c>
      <c r="K1" t="s">
        <v>29</v>
      </c>
      <c r="L1" t="s">
        <v>28</v>
      </c>
      <c r="M1" t="s">
        <v>27</v>
      </c>
      <c r="N1" t="s">
        <v>26</v>
      </c>
      <c r="O1" t="s">
        <v>25</v>
      </c>
      <c r="P1" t="s">
        <v>24</v>
      </c>
      <c r="Q1" t="s">
        <v>23</v>
      </c>
      <c r="R1" t="s">
        <v>22</v>
      </c>
      <c r="S1" t="s">
        <v>21</v>
      </c>
      <c r="T1" t="s">
        <v>20</v>
      </c>
      <c r="U1" t="s">
        <v>19</v>
      </c>
      <c r="V1" t="s">
        <v>18</v>
      </c>
      <c r="W1" t="s">
        <v>1</v>
      </c>
    </row>
    <row r="2" spans="1:23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2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</row>
    <row r="6" spans="1:2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7" spans="1:23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</row>
    <row r="8" spans="1:23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/>
  </sheetViews>
  <sheetFormatPr defaultRowHeight="15" x14ac:dyDescent="0.25"/>
  <cols>
    <col min="1" max="1" width="9.140625" style="22"/>
    <col min="2" max="3" width="30.7109375" style="22" customWidth="1"/>
    <col min="4" max="16384" width="9.140625" style="22"/>
  </cols>
  <sheetData>
    <row r="1" spans="1:3" x14ac:dyDescent="0.25">
      <c r="A1" t="s">
        <v>0</v>
      </c>
      <c r="B1" t="s">
        <v>40</v>
      </c>
      <c r="C1" t="s">
        <v>39</v>
      </c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V48"/>
  <sheetViews>
    <sheetView zoomScale="70" zoomScaleNormal="70" workbookViewId="0"/>
  </sheetViews>
  <sheetFormatPr defaultRowHeight="15" x14ac:dyDescent="0.25"/>
  <cols>
    <col min="2" max="2" width="12.7109375" bestFit="1" customWidth="1"/>
    <col min="3" max="4" width="9.42578125" bestFit="1" customWidth="1"/>
    <col min="5" max="5" width="12.7109375" bestFit="1" customWidth="1"/>
    <col min="6" max="6" width="10.140625" bestFit="1" customWidth="1"/>
    <col min="7" max="7" width="11.140625" bestFit="1" customWidth="1"/>
    <col min="8" max="8" width="9.42578125" bestFit="1" customWidth="1"/>
    <col min="9" max="9" width="12.7109375" bestFit="1" customWidth="1"/>
    <col min="10" max="10" width="11.140625" bestFit="1" customWidth="1"/>
    <col min="11" max="11" width="12.7109375" bestFit="1" customWidth="1"/>
    <col min="12" max="13" width="11.140625" bestFit="1" customWidth="1"/>
    <col min="14" max="17" width="12.7109375" bestFit="1" customWidth="1"/>
    <col min="18" max="18" width="11.140625" bestFit="1" customWidth="1"/>
    <col min="19" max="19" width="11.85546875" bestFit="1" customWidth="1"/>
    <col min="20" max="21" width="13.85546875" bestFit="1" customWidth="1"/>
    <col min="22" max="22" width="10.140625" bestFit="1" customWidth="1"/>
  </cols>
  <sheetData>
    <row r="1" spans="1:22" ht="15.75" thickBot="1" x14ac:dyDescent="0.3">
      <c r="A1" s="7" t="s">
        <v>45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x14ac:dyDescent="0.25">
      <c r="A2" s="26" t="s">
        <v>2</v>
      </c>
      <c r="B2" s="25" t="s">
        <v>3</v>
      </c>
      <c r="C2" s="25"/>
      <c r="D2" s="25" t="s">
        <v>4</v>
      </c>
      <c r="E2" s="25"/>
      <c r="F2" s="25" t="s">
        <v>41</v>
      </c>
      <c r="G2" s="25"/>
      <c r="H2" s="25" t="s">
        <v>5</v>
      </c>
      <c r="I2" s="25"/>
      <c r="J2" s="25" t="s">
        <v>6</v>
      </c>
      <c r="K2" s="25"/>
      <c r="L2" s="25" t="s">
        <v>7</v>
      </c>
      <c r="M2" s="25"/>
      <c r="N2" s="25" t="s">
        <v>8</v>
      </c>
      <c r="O2" s="25"/>
      <c r="P2" s="25" t="s">
        <v>9</v>
      </c>
      <c r="Q2" s="25"/>
      <c r="R2" s="25" t="s">
        <v>10</v>
      </c>
      <c r="S2" s="25"/>
      <c r="T2" s="25" t="s">
        <v>11</v>
      </c>
      <c r="U2" s="25"/>
      <c r="V2" s="30"/>
    </row>
    <row r="3" spans="1:22" ht="15.75" thickBot="1" x14ac:dyDescent="0.3">
      <c r="A3" s="27"/>
      <c r="B3" s="9" t="s">
        <v>12</v>
      </c>
      <c r="C3" s="9" t="s">
        <v>13</v>
      </c>
      <c r="D3" s="9" t="s">
        <v>12</v>
      </c>
      <c r="E3" s="9" t="s">
        <v>13</v>
      </c>
      <c r="F3" s="9" t="s">
        <v>12</v>
      </c>
      <c r="G3" s="9" t="s">
        <v>13</v>
      </c>
      <c r="H3" s="9" t="s">
        <v>12</v>
      </c>
      <c r="I3" s="9" t="s">
        <v>13</v>
      </c>
      <c r="J3" s="9" t="s">
        <v>12</v>
      </c>
      <c r="K3" s="9" t="s">
        <v>13</v>
      </c>
      <c r="L3" s="9" t="s">
        <v>12</v>
      </c>
      <c r="M3" s="9" t="s">
        <v>13</v>
      </c>
      <c r="N3" s="9" t="s">
        <v>12</v>
      </c>
      <c r="O3" s="9" t="s">
        <v>13</v>
      </c>
      <c r="P3" s="9" t="s">
        <v>12</v>
      </c>
      <c r="Q3" s="9" t="s">
        <v>13</v>
      </c>
      <c r="R3" s="9" t="s">
        <v>12</v>
      </c>
      <c r="S3" s="9" t="s">
        <v>13</v>
      </c>
      <c r="T3" s="9" t="s">
        <v>12</v>
      </c>
      <c r="U3" s="9" t="s">
        <v>13</v>
      </c>
      <c r="V3" s="10" t="s">
        <v>14</v>
      </c>
    </row>
    <row r="4" spans="1:22" x14ac:dyDescent="0.25">
      <c r="A4" s="3">
        <v>1</v>
      </c>
      <c r="B4" s="11">
        <f>'cbb_table.2001.dat'!S2</f>
        <v>0</v>
      </c>
      <c r="C4" s="11">
        <f>'cbb_table.2001.dat'!T2</f>
        <v>0</v>
      </c>
      <c r="D4" s="11">
        <f>'cbb_table.2001.dat'!O2</f>
        <v>0</v>
      </c>
      <c r="E4" s="11">
        <f>'cbb_table.2001.dat'!P2</f>
        <v>0</v>
      </c>
      <c r="F4" s="11">
        <f>'cbb_table.2001.dat'!I2+'cbb_table.2001.dat'!U2</f>
        <v>0</v>
      </c>
      <c r="G4" s="11">
        <f>'cbb_table.2001.dat'!J2+'cbb_table.2001.dat'!V2</f>
        <v>0</v>
      </c>
      <c r="H4" s="11">
        <f>springflow.table.2001.dat!B2</f>
        <v>0</v>
      </c>
      <c r="I4" s="11">
        <f>springflow.table.2001.dat!C2</f>
        <v>0</v>
      </c>
      <c r="J4" s="11">
        <f>'cbb_table.2001.dat'!K2+'cbb_table.2001.dat'!M2</f>
        <v>0</v>
      </c>
      <c r="K4" s="11">
        <f>'cbb_table.2001.dat'!L2+'cbb_table.2001.dat'!N2</f>
        <v>0</v>
      </c>
      <c r="L4" s="11">
        <f>'cbb_table.2001.dat'!G2</f>
        <v>0</v>
      </c>
      <c r="M4" s="11">
        <f>'cbb_table.2001.dat'!H2</f>
        <v>0</v>
      </c>
      <c r="N4" s="11">
        <f>'cbb_table.2001.dat'!C2</f>
        <v>0</v>
      </c>
      <c r="O4" s="11">
        <f>'cbb_table.2001.dat'!D2</f>
        <v>0</v>
      </c>
      <c r="P4" s="11">
        <f>'cbb_table.2001.dat'!E2</f>
        <v>0</v>
      </c>
      <c r="Q4" s="11">
        <f>'cbb_table.2001.dat'!F2</f>
        <v>0</v>
      </c>
      <c r="R4" s="11">
        <f>'cbb_table.2001.dat'!Q2-springflow.table.2001.dat!B2</f>
        <v>0</v>
      </c>
      <c r="S4" s="11">
        <f>'cbb_table.2001.dat'!R2-springflow.table.2001.dat!C2</f>
        <v>0</v>
      </c>
      <c r="T4" s="11">
        <f>B4+D4+F4+H4+J4+L4+N4+P4+R4</f>
        <v>0</v>
      </c>
      <c r="U4" s="11">
        <f>C4+E4+G4+I4+K4+M4+O4+Q4+S4</f>
        <v>0</v>
      </c>
      <c r="V4" s="12">
        <f>T4-U4</f>
        <v>0</v>
      </c>
    </row>
    <row r="5" spans="1:22" x14ac:dyDescent="0.25">
      <c r="A5" s="5">
        <v>2</v>
      </c>
      <c r="B5" s="5">
        <f>'cbb_table.2001.dat'!S3</f>
        <v>0</v>
      </c>
      <c r="C5" s="5">
        <f>'cbb_table.2001.dat'!T3</f>
        <v>0</v>
      </c>
      <c r="D5" s="5">
        <f>'cbb_table.2001.dat'!O3</f>
        <v>0</v>
      </c>
      <c r="E5" s="5">
        <f>'cbb_table.2001.dat'!P3</f>
        <v>0</v>
      </c>
      <c r="F5" s="5">
        <f>'cbb_table.2001.dat'!I3+'cbb_table.2001.dat'!U3</f>
        <v>0</v>
      </c>
      <c r="G5" s="5">
        <f>'cbb_table.2001.dat'!J3+'cbb_table.2001.dat'!V3</f>
        <v>0</v>
      </c>
      <c r="H5" s="5">
        <f>springflow.table.2001.dat!B3</f>
        <v>0</v>
      </c>
      <c r="I5" s="5">
        <f>springflow.table.2001.dat!C3</f>
        <v>0</v>
      </c>
      <c r="J5" s="5">
        <f>'cbb_table.2001.dat'!K3+'cbb_table.2001.dat'!M3</f>
        <v>0</v>
      </c>
      <c r="K5" s="5">
        <f>'cbb_table.2001.dat'!L3+'cbb_table.2001.dat'!N3</f>
        <v>0</v>
      </c>
      <c r="L5" s="5">
        <f>'cbb_table.2001.dat'!G3</f>
        <v>0</v>
      </c>
      <c r="M5" s="5">
        <f>'cbb_table.2001.dat'!H3</f>
        <v>0</v>
      </c>
      <c r="N5" s="5">
        <f>'cbb_table.2001.dat'!C3</f>
        <v>0</v>
      </c>
      <c r="O5" s="5">
        <f>'cbb_table.2001.dat'!D3</f>
        <v>0</v>
      </c>
      <c r="P5" s="5">
        <f>'cbb_table.2001.dat'!E3</f>
        <v>0</v>
      </c>
      <c r="Q5" s="5">
        <f>'cbb_table.2001.dat'!F3</f>
        <v>0</v>
      </c>
      <c r="R5" s="5">
        <v>0</v>
      </c>
      <c r="S5" s="5">
        <v>0</v>
      </c>
      <c r="T5" s="5">
        <f t="shared" ref="T5:U11" si="0">B5+D5+F5+H5+J5+L5+N5+P5+R5</f>
        <v>0</v>
      </c>
      <c r="U5" s="5">
        <f t="shared" si="0"/>
        <v>0</v>
      </c>
      <c r="V5" s="5">
        <f t="shared" ref="V5:V10" si="1">T5-U5</f>
        <v>0</v>
      </c>
    </row>
    <row r="6" spans="1:22" x14ac:dyDescent="0.25">
      <c r="A6" s="1">
        <v>3</v>
      </c>
      <c r="B6" s="11">
        <f>'cbb_table.2001.dat'!S4</f>
        <v>0</v>
      </c>
      <c r="C6" s="11">
        <f>'cbb_table.2001.dat'!T4</f>
        <v>0</v>
      </c>
      <c r="D6" s="11">
        <f>'cbb_table.2001.dat'!O4</f>
        <v>0</v>
      </c>
      <c r="E6" s="11">
        <f>'cbb_table.2001.dat'!P4</f>
        <v>0</v>
      </c>
      <c r="F6" s="11">
        <f>'cbb_table.2001.dat'!I4+'cbb_table.2001.dat'!U4</f>
        <v>0</v>
      </c>
      <c r="G6" s="11">
        <f>'cbb_table.2001.dat'!J4+'cbb_table.2001.dat'!V4</f>
        <v>0</v>
      </c>
      <c r="H6" s="11">
        <f>springflow.table.2001.dat!B4</f>
        <v>0</v>
      </c>
      <c r="I6" s="11">
        <f>springflow.table.2001.dat!C4</f>
        <v>0</v>
      </c>
      <c r="J6" s="11">
        <f>'cbb_table.2001.dat'!K4+'cbb_table.2001.dat'!M4</f>
        <v>0</v>
      </c>
      <c r="K6" s="11">
        <f>'cbb_table.2001.dat'!L4+'cbb_table.2001.dat'!N4</f>
        <v>0</v>
      </c>
      <c r="L6" s="11">
        <f>'cbb_table.2001.dat'!G4</f>
        <v>0</v>
      </c>
      <c r="M6" s="11">
        <f>'cbb_table.2001.dat'!H4</f>
        <v>0</v>
      </c>
      <c r="N6" s="11">
        <f>'cbb_table.2001.dat'!C4</f>
        <v>0</v>
      </c>
      <c r="O6" s="11">
        <f>'cbb_table.2001.dat'!D4</f>
        <v>0</v>
      </c>
      <c r="P6" s="11">
        <f>'cbb_table.2001.dat'!E4</f>
        <v>0</v>
      </c>
      <c r="Q6" s="11">
        <f>'cbb_table.2001.dat'!F4</f>
        <v>0</v>
      </c>
      <c r="R6" s="11">
        <f>'cbb_table.2001.dat'!Q4-springflow.table.2001.dat!B4</f>
        <v>0</v>
      </c>
      <c r="S6" s="11">
        <f>'cbb_table.2001.dat'!R4-springflow.table.2001.dat!C4</f>
        <v>0</v>
      </c>
      <c r="T6" s="15">
        <f t="shared" si="0"/>
        <v>0</v>
      </c>
      <c r="U6" s="15">
        <f t="shared" si="0"/>
        <v>0</v>
      </c>
      <c r="V6" s="16">
        <f t="shared" si="1"/>
        <v>0</v>
      </c>
    </row>
    <row r="7" spans="1:22" x14ac:dyDescent="0.25">
      <c r="A7" s="5">
        <v>4</v>
      </c>
      <c r="B7" s="5">
        <f>'cbb_table.2001.dat'!S5</f>
        <v>0</v>
      </c>
      <c r="C7" s="5">
        <f>'cbb_table.2001.dat'!T5</f>
        <v>0</v>
      </c>
      <c r="D7" s="5">
        <f>'cbb_table.2001.dat'!O5</f>
        <v>0</v>
      </c>
      <c r="E7" s="5">
        <f>'cbb_table.2001.dat'!P5</f>
        <v>0</v>
      </c>
      <c r="F7" s="5">
        <f>'cbb_table.2001.dat'!I5+'cbb_table.2001.dat'!U5</f>
        <v>0</v>
      </c>
      <c r="G7" s="5">
        <f>'cbb_table.2001.dat'!J5+'cbb_table.2001.dat'!V5</f>
        <v>0</v>
      </c>
      <c r="H7" s="5">
        <f>springflow.table.2001.dat!B5</f>
        <v>0</v>
      </c>
      <c r="I7" s="5">
        <f>springflow.table.2001.dat!C5</f>
        <v>0</v>
      </c>
      <c r="J7" s="5">
        <f>'cbb_table.2001.dat'!K5+'cbb_table.2001.dat'!M5</f>
        <v>0</v>
      </c>
      <c r="K7" s="5">
        <f>'cbb_table.2001.dat'!L5+'cbb_table.2001.dat'!N5</f>
        <v>0</v>
      </c>
      <c r="L7" s="5">
        <f>'cbb_table.2001.dat'!G5</f>
        <v>0</v>
      </c>
      <c r="M7" s="5">
        <f>'cbb_table.2001.dat'!H5</f>
        <v>0</v>
      </c>
      <c r="N7" s="5">
        <f>'cbb_table.2001.dat'!C5</f>
        <v>0</v>
      </c>
      <c r="O7" s="5">
        <f>'cbb_table.2001.dat'!D5</f>
        <v>0</v>
      </c>
      <c r="P7" s="5">
        <f>'cbb_table.2001.dat'!E5</f>
        <v>0</v>
      </c>
      <c r="Q7" s="5">
        <f>'cbb_table.2001.dat'!F5</f>
        <v>0</v>
      </c>
      <c r="R7" s="5">
        <f>'cbb_table.2001.dat'!Q5-springflow.table.2001.dat!B5</f>
        <v>0</v>
      </c>
      <c r="S7" s="5">
        <f>'cbb_table.2001.dat'!R5-springflow.table.2001.dat!C5</f>
        <v>0</v>
      </c>
      <c r="T7" s="5">
        <f t="shared" si="0"/>
        <v>0</v>
      </c>
      <c r="U7" s="5">
        <f t="shared" si="0"/>
        <v>0</v>
      </c>
      <c r="V7" s="5">
        <f t="shared" si="1"/>
        <v>0</v>
      </c>
    </row>
    <row r="8" spans="1:22" x14ac:dyDescent="0.25">
      <c r="A8" s="1">
        <v>5</v>
      </c>
      <c r="B8" s="11">
        <f>'cbb_table.2001.dat'!S6</f>
        <v>0</v>
      </c>
      <c r="C8" s="11">
        <f>'cbb_table.2001.dat'!T6</f>
        <v>0</v>
      </c>
      <c r="D8" s="11">
        <f>'cbb_table.2001.dat'!O6</f>
        <v>0</v>
      </c>
      <c r="E8" s="11">
        <f>'cbb_table.2001.dat'!P6</f>
        <v>0</v>
      </c>
      <c r="F8" s="11">
        <f>'cbb_table.2001.dat'!I6+'cbb_table.2001.dat'!U6</f>
        <v>0</v>
      </c>
      <c r="G8" s="11">
        <f>'cbb_table.2001.dat'!J6+'cbb_table.2001.dat'!V6</f>
        <v>0</v>
      </c>
      <c r="H8" s="11">
        <f>springflow.table.2001.dat!B6</f>
        <v>0</v>
      </c>
      <c r="I8" s="11">
        <f>springflow.table.2001.dat!C6</f>
        <v>0</v>
      </c>
      <c r="J8" s="11">
        <f>'cbb_table.2001.dat'!K6+'cbb_table.2001.dat'!M6</f>
        <v>0</v>
      </c>
      <c r="K8" s="11">
        <f>'cbb_table.2001.dat'!L6+'cbb_table.2001.dat'!N6</f>
        <v>0</v>
      </c>
      <c r="L8" s="11">
        <f>'cbb_table.2001.dat'!G6</f>
        <v>0</v>
      </c>
      <c r="M8" s="11">
        <f>'cbb_table.2001.dat'!H6</f>
        <v>0</v>
      </c>
      <c r="N8" s="11">
        <f>'cbb_table.2001.dat'!C6</f>
        <v>0</v>
      </c>
      <c r="O8" s="11">
        <f>'cbb_table.2001.dat'!D6</f>
        <v>0</v>
      </c>
      <c r="P8" s="11">
        <f>'cbb_table.2001.dat'!E6</f>
        <v>0</v>
      </c>
      <c r="Q8" s="11">
        <f>'cbb_table.2001.dat'!F6</f>
        <v>0</v>
      </c>
      <c r="R8" s="11">
        <f>'cbb_table.2001.dat'!Q6-springflow.table.2001.dat!B6</f>
        <v>0</v>
      </c>
      <c r="S8" s="11">
        <f>'cbb_table.2001.dat'!R6-springflow.table.2001.dat!C6</f>
        <v>0</v>
      </c>
      <c r="T8" s="15">
        <f t="shared" si="0"/>
        <v>0</v>
      </c>
      <c r="U8" s="15">
        <f t="shared" si="0"/>
        <v>0</v>
      </c>
      <c r="V8" s="16">
        <f t="shared" si="1"/>
        <v>0</v>
      </c>
    </row>
    <row r="9" spans="1:22" x14ac:dyDescent="0.25">
      <c r="A9" s="5">
        <v>6</v>
      </c>
      <c r="B9" s="5">
        <f>'cbb_table.2001.dat'!S7</f>
        <v>0</v>
      </c>
      <c r="C9" s="5">
        <f>'cbb_table.2001.dat'!T7</f>
        <v>0</v>
      </c>
      <c r="D9" s="5">
        <f>'cbb_table.2001.dat'!O7</f>
        <v>0</v>
      </c>
      <c r="E9" s="5">
        <f>'cbb_table.2001.dat'!P7</f>
        <v>0</v>
      </c>
      <c r="F9" s="5">
        <f>'cbb_table.2001.dat'!I7+'cbb_table.2001.dat'!U7</f>
        <v>0</v>
      </c>
      <c r="G9" s="5">
        <f>'cbb_table.2001.dat'!J7+'cbb_table.2001.dat'!V7</f>
        <v>0</v>
      </c>
      <c r="H9" s="5">
        <f>springflow.table.2001.dat!B7</f>
        <v>0</v>
      </c>
      <c r="I9" s="5">
        <f>springflow.table.2001.dat!C7</f>
        <v>0</v>
      </c>
      <c r="J9" s="5">
        <f>'cbb_table.2001.dat'!K7+'cbb_table.2001.dat'!M7</f>
        <v>0</v>
      </c>
      <c r="K9" s="5">
        <f>'cbb_table.2001.dat'!L7+'cbb_table.2001.dat'!N7</f>
        <v>0</v>
      </c>
      <c r="L9" s="5">
        <f>'cbb_table.2001.dat'!G7</f>
        <v>0</v>
      </c>
      <c r="M9" s="5">
        <f>'cbb_table.2001.dat'!H7</f>
        <v>0</v>
      </c>
      <c r="N9" s="5">
        <f>'cbb_table.2001.dat'!C7</f>
        <v>0</v>
      </c>
      <c r="O9" s="5">
        <f>'cbb_table.2001.dat'!D7</f>
        <v>0</v>
      </c>
      <c r="P9" s="5">
        <f>'cbb_table.2001.dat'!E7</f>
        <v>0</v>
      </c>
      <c r="Q9" s="5">
        <f>'cbb_table.2001.dat'!F7</f>
        <v>0</v>
      </c>
      <c r="R9" s="5">
        <f>'cbb_table.2001.dat'!Q7-springflow.table.2001.dat!B7</f>
        <v>0</v>
      </c>
      <c r="S9" s="5">
        <f>'cbb_table.2001.dat'!R7-springflow.table.2001.dat!C7</f>
        <v>0</v>
      </c>
      <c r="T9" s="5">
        <f t="shared" si="0"/>
        <v>0</v>
      </c>
      <c r="U9" s="5">
        <f t="shared" si="0"/>
        <v>0</v>
      </c>
      <c r="V9" s="5">
        <f t="shared" si="1"/>
        <v>0</v>
      </c>
    </row>
    <row r="10" spans="1:22" ht="15.75" thickBot="1" x14ac:dyDescent="0.3">
      <c r="A10" s="4">
        <v>7</v>
      </c>
      <c r="B10" s="11">
        <f>'cbb_table.2001.dat'!S8</f>
        <v>0</v>
      </c>
      <c r="C10" s="11">
        <f>'cbb_table.2001.dat'!T8</f>
        <v>0</v>
      </c>
      <c r="D10" s="11">
        <f>'cbb_table.2001.dat'!O8</f>
        <v>0</v>
      </c>
      <c r="E10" s="11">
        <f>'cbb_table.2001.dat'!P8</f>
        <v>0</v>
      </c>
      <c r="F10" s="11">
        <f>'cbb_table.2001.dat'!I8+'cbb_table.2001.dat'!U8</f>
        <v>0</v>
      </c>
      <c r="G10" s="11">
        <f>'cbb_table.2001.dat'!J8+'cbb_table.2001.dat'!V8</f>
        <v>0</v>
      </c>
      <c r="H10" s="11">
        <f>springflow.table.2001.dat!B8</f>
        <v>0</v>
      </c>
      <c r="I10" s="11">
        <f>springflow.table.2001.dat!C8</f>
        <v>0</v>
      </c>
      <c r="J10" s="11">
        <f>'cbb_table.2001.dat'!K8+'cbb_table.2001.dat'!M8</f>
        <v>0</v>
      </c>
      <c r="K10" s="11">
        <f>'cbb_table.2001.dat'!L8+'cbb_table.2001.dat'!N8</f>
        <v>0</v>
      </c>
      <c r="L10" s="11">
        <f>'cbb_table.2001.dat'!G8</f>
        <v>0</v>
      </c>
      <c r="M10" s="11">
        <f>'cbb_table.2001.dat'!H8</f>
        <v>0</v>
      </c>
      <c r="N10" s="11">
        <f>'cbb_table.2001.dat'!C8</f>
        <v>0</v>
      </c>
      <c r="O10" s="11">
        <f>'cbb_table.2001.dat'!D8</f>
        <v>0</v>
      </c>
      <c r="P10" s="11">
        <f>'cbb_table.2001.dat'!E8</f>
        <v>0</v>
      </c>
      <c r="Q10" s="11">
        <f>'cbb_table.2001.dat'!F8</f>
        <v>0</v>
      </c>
      <c r="R10" s="11">
        <f>'cbb_table.2001.dat'!Q8-springflow.table.2001.dat!B8</f>
        <v>0</v>
      </c>
      <c r="S10" s="11">
        <f>'cbb_table.2001.dat'!R8-springflow.table.2001.dat!C8</f>
        <v>0</v>
      </c>
      <c r="T10" s="17">
        <f t="shared" si="0"/>
        <v>0</v>
      </c>
      <c r="U10" s="17">
        <f t="shared" si="0"/>
        <v>0</v>
      </c>
      <c r="V10" s="18">
        <f t="shared" si="1"/>
        <v>0</v>
      </c>
    </row>
    <row r="11" spans="1:22" ht="15.75" thickBot="1" x14ac:dyDescent="0.3">
      <c r="A11" s="6" t="s">
        <v>15</v>
      </c>
      <c r="B11" s="19">
        <f>SUM(B4:B10)</f>
        <v>0</v>
      </c>
      <c r="C11" s="19">
        <f t="shared" ref="C11:V11" si="2">SUM(C4:C10)</f>
        <v>0</v>
      </c>
      <c r="D11" s="19">
        <f t="shared" si="2"/>
        <v>0</v>
      </c>
      <c r="E11" s="19">
        <f t="shared" si="2"/>
        <v>0</v>
      </c>
      <c r="F11" s="19">
        <f t="shared" si="2"/>
        <v>0</v>
      </c>
      <c r="G11" s="19">
        <f t="shared" si="2"/>
        <v>0</v>
      </c>
      <c r="H11" s="19">
        <f t="shared" si="2"/>
        <v>0</v>
      </c>
      <c r="I11" s="19">
        <f t="shared" si="2"/>
        <v>0</v>
      </c>
      <c r="J11" s="19">
        <f t="shared" si="2"/>
        <v>0</v>
      </c>
      <c r="K11" s="19">
        <f t="shared" si="2"/>
        <v>0</v>
      </c>
      <c r="L11" s="19">
        <f t="shared" si="2"/>
        <v>0</v>
      </c>
      <c r="M11" s="19">
        <f t="shared" si="2"/>
        <v>0</v>
      </c>
      <c r="N11" s="19">
        <f>N4</f>
        <v>0</v>
      </c>
      <c r="O11" s="19">
        <f t="shared" ref="O11" si="3">O4</f>
        <v>0</v>
      </c>
      <c r="P11" s="19">
        <f>P10</f>
        <v>0</v>
      </c>
      <c r="Q11" s="19">
        <f t="shared" ref="Q11" si="4">Q10</f>
        <v>0</v>
      </c>
      <c r="R11" s="19">
        <f t="shared" si="2"/>
        <v>0</v>
      </c>
      <c r="S11" s="19">
        <f t="shared" si="2"/>
        <v>0</v>
      </c>
      <c r="T11" s="19">
        <f t="shared" si="0"/>
        <v>0</v>
      </c>
      <c r="U11" s="19">
        <f t="shared" si="0"/>
        <v>0</v>
      </c>
      <c r="V11" s="20">
        <f t="shared" si="2"/>
        <v>0</v>
      </c>
    </row>
    <row r="13" spans="1:22" ht="15.75" thickBot="1" x14ac:dyDescent="0.3">
      <c r="A13" s="7" t="s">
        <v>42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x14ac:dyDescent="0.25">
      <c r="A14" s="28" t="s">
        <v>2</v>
      </c>
      <c r="B14" s="25" t="s">
        <v>3</v>
      </c>
      <c r="C14" s="25"/>
      <c r="D14" s="25" t="s">
        <v>4</v>
      </c>
      <c r="E14" s="25"/>
      <c r="F14" s="25" t="s">
        <v>41</v>
      </c>
      <c r="G14" s="25"/>
      <c r="H14" s="25" t="s">
        <v>5</v>
      </c>
      <c r="I14" s="25"/>
      <c r="J14" s="25" t="s">
        <v>6</v>
      </c>
      <c r="K14" s="25"/>
      <c r="L14" s="25" t="s">
        <v>7</v>
      </c>
      <c r="M14" s="25"/>
      <c r="N14" s="25" t="s">
        <v>8</v>
      </c>
      <c r="O14" s="25"/>
      <c r="P14" s="25" t="s">
        <v>9</v>
      </c>
      <c r="Q14" s="25"/>
      <c r="R14" s="25" t="s">
        <v>10</v>
      </c>
      <c r="S14" s="25"/>
      <c r="T14" s="25" t="s">
        <v>11</v>
      </c>
      <c r="U14" s="25"/>
      <c r="V14" s="30"/>
    </row>
    <row r="15" spans="1:22" ht="15.75" thickBot="1" x14ac:dyDescent="0.3">
      <c r="A15" s="29"/>
      <c r="B15" s="9" t="s">
        <v>12</v>
      </c>
      <c r="C15" s="9" t="s">
        <v>13</v>
      </c>
      <c r="D15" s="9" t="s">
        <v>12</v>
      </c>
      <c r="E15" s="9" t="s">
        <v>13</v>
      </c>
      <c r="F15" s="9" t="s">
        <v>12</v>
      </c>
      <c r="G15" s="9" t="s">
        <v>13</v>
      </c>
      <c r="H15" s="9" t="s">
        <v>12</v>
      </c>
      <c r="I15" s="9" t="s">
        <v>13</v>
      </c>
      <c r="J15" s="9" t="s">
        <v>12</v>
      </c>
      <c r="K15" s="9" t="s">
        <v>13</v>
      </c>
      <c r="L15" s="9" t="s">
        <v>12</v>
      </c>
      <c r="M15" s="9" t="s">
        <v>13</v>
      </c>
      <c r="N15" s="9" t="s">
        <v>12</v>
      </c>
      <c r="O15" s="9" t="s">
        <v>13</v>
      </c>
      <c r="P15" s="9" t="s">
        <v>12</v>
      </c>
      <c r="Q15" s="9" t="s">
        <v>13</v>
      </c>
      <c r="R15" s="9" t="s">
        <v>12</v>
      </c>
      <c r="S15" s="9" t="s">
        <v>13</v>
      </c>
      <c r="T15" s="9" t="s">
        <v>12</v>
      </c>
      <c r="U15" s="9" t="s">
        <v>13</v>
      </c>
      <c r="V15" s="10" t="s">
        <v>14</v>
      </c>
    </row>
    <row r="16" spans="1:22" x14ac:dyDescent="0.25">
      <c r="A16" s="3">
        <v>1</v>
      </c>
      <c r="B16" s="11">
        <f t="shared" ref="B16:V23" si="5">B4/24/3600</f>
        <v>0</v>
      </c>
      <c r="C16" s="11">
        <f t="shared" si="5"/>
        <v>0</v>
      </c>
      <c r="D16" s="11">
        <f t="shared" si="5"/>
        <v>0</v>
      </c>
      <c r="E16" s="11">
        <f t="shared" si="5"/>
        <v>0</v>
      </c>
      <c r="F16" s="11">
        <f t="shared" si="5"/>
        <v>0</v>
      </c>
      <c r="G16" s="11">
        <f t="shared" si="5"/>
        <v>0</v>
      </c>
      <c r="H16" s="11">
        <f t="shared" si="5"/>
        <v>0</v>
      </c>
      <c r="I16" s="11">
        <f t="shared" si="5"/>
        <v>0</v>
      </c>
      <c r="J16" s="11">
        <f t="shared" si="5"/>
        <v>0</v>
      </c>
      <c r="K16" s="11">
        <f t="shared" si="5"/>
        <v>0</v>
      </c>
      <c r="L16" s="11">
        <f t="shared" si="5"/>
        <v>0</v>
      </c>
      <c r="M16" s="11">
        <f t="shared" si="5"/>
        <v>0</v>
      </c>
      <c r="N16" s="11">
        <f t="shared" si="5"/>
        <v>0</v>
      </c>
      <c r="O16" s="11">
        <f t="shared" si="5"/>
        <v>0</v>
      </c>
      <c r="P16" s="11">
        <f t="shared" si="5"/>
        <v>0</v>
      </c>
      <c r="Q16" s="11">
        <f t="shared" si="5"/>
        <v>0</v>
      </c>
      <c r="R16" s="11">
        <f t="shared" si="5"/>
        <v>0</v>
      </c>
      <c r="S16" s="11">
        <f t="shared" si="5"/>
        <v>0</v>
      </c>
      <c r="T16" s="11">
        <f t="shared" si="5"/>
        <v>0</v>
      </c>
      <c r="U16" s="11">
        <f t="shared" si="5"/>
        <v>0</v>
      </c>
      <c r="V16" s="12">
        <f t="shared" si="5"/>
        <v>0</v>
      </c>
    </row>
    <row r="17" spans="1:22" x14ac:dyDescent="0.25">
      <c r="A17" s="5">
        <v>2</v>
      </c>
      <c r="B17" s="13">
        <f t="shared" si="5"/>
        <v>0</v>
      </c>
      <c r="C17" s="13">
        <f t="shared" si="5"/>
        <v>0</v>
      </c>
      <c r="D17" s="13">
        <f t="shared" si="5"/>
        <v>0</v>
      </c>
      <c r="E17" s="13">
        <f t="shared" si="5"/>
        <v>0</v>
      </c>
      <c r="F17" s="13">
        <f t="shared" si="5"/>
        <v>0</v>
      </c>
      <c r="G17" s="13">
        <f t="shared" si="5"/>
        <v>0</v>
      </c>
      <c r="H17" s="13">
        <f t="shared" si="5"/>
        <v>0</v>
      </c>
      <c r="I17" s="13">
        <f t="shared" si="5"/>
        <v>0</v>
      </c>
      <c r="J17" s="13">
        <f t="shared" si="5"/>
        <v>0</v>
      </c>
      <c r="K17" s="13">
        <f t="shared" si="5"/>
        <v>0</v>
      </c>
      <c r="L17" s="13">
        <f t="shared" si="5"/>
        <v>0</v>
      </c>
      <c r="M17" s="13">
        <f t="shared" si="5"/>
        <v>0</v>
      </c>
      <c r="N17" s="13">
        <f t="shared" si="5"/>
        <v>0</v>
      </c>
      <c r="O17" s="13">
        <f t="shared" si="5"/>
        <v>0</v>
      </c>
      <c r="P17" s="13">
        <f t="shared" si="5"/>
        <v>0</v>
      </c>
      <c r="Q17" s="13">
        <f t="shared" si="5"/>
        <v>0</v>
      </c>
      <c r="R17" s="13">
        <f t="shared" si="5"/>
        <v>0</v>
      </c>
      <c r="S17" s="13">
        <f t="shared" si="5"/>
        <v>0</v>
      </c>
      <c r="T17" s="13">
        <f t="shared" si="5"/>
        <v>0</v>
      </c>
      <c r="U17" s="13">
        <f t="shared" si="5"/>
        <v>0</v>
      </c>
      <c r="V17" s="14">
        <f t="shared" si="5"/>
        <v>0</v>
      </c>
    </row>
    <row r="18" spans="1:22" x14ac:dyDescent="0.25">
      <c r="A18" s="1">
        <v>3</v>
      </c>
      <c r="B18" s="15">
        <f t="shared" si="5"/>
        <v>0</v>
      </c>
      <c r="C18" s="15">
        <f t="shared" si="5"/>
        <v>0</v>
      </c>
      <c r="D18" s="15">
        <f t="shared" si="5"/>
        <v>0</v>
      </c>
      <c r="E18" s="15">
        <f t="shared" si="5"/>
        <v>0</v>
      </c>
      <c r="F18" s="15">
        <f t="shared" si="5"/>
        <v>0</v>
      </c>
      <c r="G18" s="15">
        <f t="shared" si="5"/>
        <v>0</v>
      </c>
      <c r="H18" s="15">
        <f t="shared" si="5"/>
        <v>0</v>
      </c>
      <c r="I18" s="15">
        <f t="shared" si="5"/>
        <v>0</v>
      </c>
      <c r="J18" s="15">
        <f t="shared" si="5"/>
        <v>0</v>
      </c>
      <c r="K18" s="15">
        <f t="shared" si="5"/>
        <v>0</v>
      </c>
      <c r="L18" s="15">
        <f t="shared" si="5"/>
        <v>0</v>
      </c>
      <c r="M18" s="15">
        <f t="shared" si="5"/>
        <v>0</v>
      </c>
      <c r="N18" s="15">
        <f t="shared" si="5"/>
        <v>0</v>
      </c>
      <c r="O18" s="15">
        <f t="shared" si="5"/>
        <v>0</v>
      </c>
      <c r="P18" s="15">
        <f t="shared" si="5"/>
        <v>0</v>
      </c>
      <c r="Q18" s="15">
        <f t="shared" si="5"/>
        <v>0</v>
      </c>
      <c r="R18" s="15">
        <f t="shared" si="5"/>
        <v>0</v>
      </c>
      <c r="S18" s="15">
        <f t="shared" si="5"/>
        <v>0</v>
      </c>
      <c r="T18" s="15">
        <f t="shared" si="5"/>
        <v>0</v>
      </c>
      <c r="U18" s="15">
        <f t="shared" si="5"/>
        <v>0</v>
      </c>
      <c r="V18" s="16">
        <f t="shared" si="5"/>
        <v>0</v>
      </c>
    </row>
    <row r="19" spans="1:22" x14ac:dyDescent="0.25">
      <c r="A19" s="5">
        <v>4</v>
      </c>
      <c r="B19" s="13">
        <f t="shared" si="5"/>
        <v>0</v>
      </c>
      <c r="C19" s="13">
        <f t="shared" si="5"/>
        <v>0</v>
      </c>
      <c r="D19" s="13">
        <f t="shared" si="5"/>
        <v>0</v>
      </c>
      <c r="E19" s="13">
        <f t="shared" si="5"/>
        <v>0</v>
      </c>
      <c r="F19" s="13">
        <f t="shared" si="5"/>
        <v>0</v>
      </c>
      <c r="G19" s="13">
        <f t="shared" si="5"/>
        <v>0</v>
      </c>
      <c r="H19" s="13">
        <f t="shared" si="5"/>
        <v>0</v>
      </c>
      <c r="I19" s="13">
        <f t="shared" si="5"/>
        <v>0</v>
      </c>
      <c r="J19" s="13">
        <f t="shared" si="5"/>
        <v>0</v>
      </c>
      <c r="K19" s="13">
        <f t="shared" si="5"/>
        <v>0</v>
      </c>
      <c r="L19" s="13">
        <f t="shared" si="5"/>
        <v>0</v>
      </c>
      <c r="M19" s="13">
        <f t="shared" si="5"/>
        <v>0</v>
      </c>
      <c r="N19" s="13">
        <f t="shared" si="5"/>
        <v>0</v>
      </c>
      <c r="O19" s="13">
        <f t="shared" si="5"/>
        <v>0</v>
      </c>
      <c r="P19" s="13">
        <f t="shared" si="5"/>
        <v>0</v>
      </c>
      <c r="Q19" s="13">
        <f t="shared" si="5"/>
        <v>0</v>
      </c>
      <c r="R19" s="13">
        <f t="shared" si="5"/>
        <v>0</v>
      </c>
      <c r="S19" s="13">
        <f t="shared" si="5"/>
        <v>0</v>
      </c>
      <c r="T19" s="13">
        <f t="shared" si="5"/>
        <v>0</v>
      </c>
      <c r="U19" s="13">
        <f t="shared" si="5"/>
        <v>0</v>
      </c>
      <c r="V19" s="14">
        <f t="shared" si="5"/>
        <v>0</v>
      </c>
    </row>
    <row r="20" spans="1:22" x14ac:dyDescent="0.25">
      <c r="A20" s="1">
        <v>5</v>
      </c>
      <c r="B20" s="15">
        <f t="shared" si="5"/>
        <v>0</v>
      </c>
      <c r="C20" s="15">
        <f t="shared" si="5"/>
        <v>0</v>
      </c>
      <c r="D20" s="15">
        <f t="shared" si="5"/>
        <v>0</v>
      </c>
      <c r="E20" s="15">
        <f t="shared" si="5"/>
        <v>0</v>
      </c>
      <c r="F20" s="15">
        <f t="shared" si="5"/>
        <v>0</v>
      </c>
      <c r="G20" s="15">
        <f t="shared" si="5"/>
        <v>0</v>
      </c>
      <c r="H20" s="15">
        <f t="shared" si="5"/>
        <v>0</v>
      </c>
      <c r="I20" s="15">
        <f t="shared" si="5"/>
        <v>0</v>
      </c>
      <c r="J20" s="15">
        <f t="shared" si="5"/>
        <v>0</v>
      </c>
      <c r="K20" s="15">
        <f t="shared" si="5"/>
        <v>0</v>
      </c>
      <c r="L20" s="15">
        <f t="shared" si="5"/>
        <v>0</v>
      </c>
      <c r="M20" s="15">
        <f t="shared" si="5"/>
        <v>0</v>
      </c>
      <c r="N20" s="15">
        <f t="shared" si="5"/>
        <v>0</v>
      </c>
      <c r="O20" s="15">
        <f t="shared" si="5"/>
        <v>0</v>
      </c>
      <c r="P20" s="15">
        <f t="shared" si="5"/>
        <v>0</v>
      </c>
      <c r="Q20" s="15">
        <f t="shared" si="5"/>
        <v>0</v>
      </c>
      <c r="R20" s="15">
        <f t="shared" si="5"/>
        <v>0</v>
      </c>
      <c r="S20" s="15">
        <f t="shared" si="5"/>
        <v>0</v>
      </c>
      <c r="T20" s="15">
        <f t="shared" si="5"/>
        <v>0</v>
      </c>
      <c r="U20" s="15">
        <f t="shared" si="5"/>
        <v>0</v>
      </c>
      <c r="V20" s="16">
        <f t="shared" si="5"/>
        <v>0</v>
      </c>
    </row>
    <row r="21" spans="1:22" x14ac:dyDescent="0.25">
      <c r="A21" s="5">
        <v>6</v>
      </c>
      <c r="B21" s="13">
        <f t="shared" si="5"/>
        <v>0</v>
      </c>
      <c r="C21" s="13">
        <f t="shared" si="5"/>
        <v>0</v>
      </c>
      <c r="D21" s="13">
        <f t="shared" si="5"/>
        <v>0</v>
      </c>
      <c r="E21" s="13">
        <f t="shared" si="5"/>
        <v>0</v>
      </c>
      <c r="F21" s="13">
        <f t="shared" si="5"/>
        <v>0</v>
      </c>
      <c r="G21" s="13">
        <f t="shared" si="5"/>
        <v>0</v>
      </c>
      <c r="H21" s="13">
        <f t="shared" si="5"/>
        <v>0</v>
      </c>
      <c r="I21" s="13">
        <f t="shared" si="5"/>
        <v>0</v>
      </c>
      <c r="J21" s="13">
        <f t="shared" si="5"/>
        <v>0</v>
      </c>
      <c r="K21" s="13">
        <f t="shared" si="5"/>
        <v>0</v>
      </c>
      <c r="L21" s="13">
        <f t="shared" si="5"/>
        <v>0</v>
      </c>
      <c r="M21" s="13">
        <f t="shared" si="5"/>
        <v>0</v>
      </c>
      <c r="N21" s="13">
        <f t="shared" si="5"/>
        <v>0</v>
      </c>
      <c r="O21" s="13">
        <f t="shared" si="5"/>
        <v>0</v>
      </c>
      <c r="P21" s="13">
        <f t="shared" si="5"/>
        <v>0</v>
      </c>
      <c r="Q21" s="13">
        <f t="shared" si="5"/>
        <v>0</v>
      </c>
      <c r="R21" s="13">
        <f t="shared" si="5"/>
        <v>0</v>
      </c>
      <c r="S21" s="13">
        <f t="shared" si="5"/>
        <v>0</v>
      </c>
      <c r="T21" s="13">
        <f t="shared" si="5"/>
        <v>0</v>
      </c>
      <c r="U21" s="13">
        <f t="shared" si="5"/>
        <v>0</v>
      </c>
      <c r="V21" s="14">
        <f t="shared" si="5"/>
        <v>0</v>
      </c>
    </row>
    <row r="22" spans="1:22" ht="15.75" thickBot="1" x14ac:dyDescent="0.3">
      <c r="A22" s="4">
        <v>7</v>
      </c>
      <c r="B22" s="17">
        <f t="shared" si="5"/>
        <v>0</v>
      </c>
      <c r="C22" s="17">
        <f t="shared" si="5"/>
        <v>0</v>
      </c>
      <c r="D22" s="17">
        <f t="shared" si="5"/>
        <v>0</v>
      </c>
      <c r="E22" s="17">
        <f t="shared" si="5"/>
        <v>0</v>
      </c>
      <c r="F22" s="17">
        <f t="shared" si="5"/>
        <v>0</v>
      </c>
      <c r="G22" s="17">
        <f t="shared" si="5"/>
        <v>0</v>
      </c>
      <c r="H22" s="17">
        <f t="shared" si="5"/>
        <v>0</v>
      </c>
      <c r="I22" s="17">
        <f t="shared" si="5"/>
        <v>0</v>
      </c>
      <c r="J22" s="17">
        <f t="shared" si="5"/>
        <v>0</v>
      </c>
      <c r="K22" s="17">
        <f t="shared" si="5"/>
        <v>0</v>
      </c>
      <c r="L22" s="17">
        <f t="shared" si="5"/>
        <v>0</v>
      </c>
      <c r="M22" s="17">
        <f t="shared" si="5"/>
        <v>0</v>
      </c>
      <c r="N22" s="17">
        <f t="shared" si="5"/>
        <v>0</v>
      </c>
      <c r="O22" s="17">
        <f t="shared" si="5"/>
        <v>0</v>
      </c>
      <c r="P22" s="17">
        <f t="shared" si="5"/>
        <v>0</v>
      </c>
      <c r="Q22" s="17">
        <f t="shared" si="5"/>
        <v>0</v>
      </c>
      <c r="R22" s="17">
        <f t="shared" si="5"/>
        <v>0</v>
      </c>
      <c r="S22" s="17">
        <f t="shared" si="5"/>
        <v>0</v>
      </c>
      <c r="T22" s="17">
        <f t="shared" si="5"/>
        <v>0</v>
      </c>
      <c r="U22" s="17">
        <f t="shared" si="5"/>
        <v>0</v>
      </c>
      <c r="V22" s="18">
        <f t="shared" si="5"/>
        <v>0</v>
      </c>
    </row>
    <row r="23" spans="1:22" ht="15.75" thickBot="1" x14ac:dyDescent="0.3">
      <c r="A23" s="6" t="s">
        <v>15</v>
      </c>
      <c r="B23" s="19">
        <f t="shared" si="5"/>
        <v>0</v>
      </c>
      <c r="C23" s="19">
        <f t="shared" si="5"/>
        <v>0</v>
      </c>
      <c r="D23" s="19">
        <f t="shared" si="5"/>
        <v>0</v>
      </c>
      <c r="E23" s="19">
        <f t="shared" si="5"/>
        <v>0</v>
      </c>
      <c r="F23" s="19">
        <f t="shared" si="5"/>
        <v>0</v>
      </c>
      <c r="G23" s="19">
        <f t="shared" si="5"/>
        <v>0</v>
      </c>
      <c r="H23" s="19">
        <f t="shared" si="5"/>
        <v>0</v>
      </c>
      <c r="I23" s="19">
        <f t="shared" si="5"/>
        <v>0</v>
      </c>
      <c r="J23" s="19">
        <f t="shared" si="5"/>
        <v>0</v>
      </c>
      <c r="K23" s="19">
        <f t="shared" si="5"/>
        <v>0</v>
      </c>
      <c r="L23" s="19">
        <f t="shared" si="5"/>
        <v>0</v>
      </c>
      <c r="M23" s="19">
        <f t="shared" si="5"/>
        <v>0</v>
      </c>
      <c r="N23" s="19">
        <f t="shared" si="5"/>
        <v>0</v>
      </c>
      <c r="O23" s="19">
        <f t="shared" si="5"/>
        <v>0</v>
      </c>
      <c r="P23" s="19">
        <f t="shared" si="5"/>
        <v>0</v>
      </c>
      <c r="Q23" s="19">
        <f t="shared" si="5"/>
        <v>0</v>
      </c>
      <c r="R23" s="19">
        <f t="shared" si="5"/>
        <v>0</v>
      </c>
      <c r="S23" s="19">
        <f t="shared" si="5"/>
        <v>0</v>
      </c>
      <c r="T23" s="19">
        <f t="shared" si="5"/>
        <v>0</v>
      </c>
      <c r="U23" s="19">
        <f t="shared" si="5"/>
        <v>0</v>
      </c>
      <c r="V23" s="20">
        <f t="shared" si="5"/>
        <v>0</v>
      </c>
    </row>
    <row r="25" spans="1:22" ht="15.75" thickBot="1" x14ac:dyDescent="0.3">
      <c r="A25" s="7" t="s">
        <v>43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x14ac:dyDescent="0.25">
      <c r="A26" s="26" t="s">
        <v>2</v>
      </c>
      <c r="B26" s="25" t="s">
        <v>3</v>
      </c>
      <c r="C26" s="25"/>
      <c r="D26" s="25" t="s">
        <v>4</v>
      </c>
      <c r="E26" s="25"/>
      <c r="F26" s="25" t="s">
        <v>41</v>
      </c>
      <c r="G26" s="25"/>
      <c r="H26" s="25" t="s">
        <v>5</v>
      </c>
      <c r="I26" s="25"/>
      <c r="J26" s="25" t="s">
        <v>6</v>
      </c>
      <c r="K26" s="25"/>
      <c r="L26" s="25" t="s">
        <v>7</v>
      </c>
      <c r="M26" s="25"/>
      <c r="N26" s="25" t="s">
        <v>8</v>
      </c>
      <c r="O26" s="25"/>
      <c r="P26" s="25" t="s">
        <v>9</v>
      </c>
      <c r="Q26" s="25"/>
      <c r="R26" s="25" t="s">
        <v>10</v>
      </c>
      <c r="S26" s="25"/>
      <c r="T26" s="25" t="s">
        <v>11</v>
      </c>
      <c r="U26" s="25"/>
      <c r="V26" s="30"/>
    </row>
    <row r="27" spans="1:22" ht="15.75" thickBot="1" x14ac:dyDescent="0.3">
      <c r="A27" s="27"/>
      <c r="B27" s="9" t="s">
        <v>12</v>
      </c>
      <c r="C27" s="9" t="s">
        <v>13</v>
      </c>
      <c r="D27" s="9" t="s">
        <v>12</v>
      </c>
      <c r="E27" s="9" t="s">
        <v>13</v>
      </c>
      <c r="F27" s="9" t="s">
        <v>12</v>
      </c>
      <c r="G27" s="9" t="s">
        <v>13</v>
      </c>
      <c r="H27" s="9" t="s">
        <v>12</v>
      </c>
      <c r="I27" s="9" t="s">
        <v>13</v>
      </c>
      <c r="J27" s="9" t="s">
        <v>12</v>
      </c>
      <c r="K27" s="9" t="s">
        <v>13</v>
      </c>
      <c r="L27" s="9" t="s">
        <v>12</v>
      </c>
      <c r="M27" s="9" t="s">
        <v>13</v>
      </c>
      <c r="N27" s="9" t="s">
        <v>12</v>
      </c>
      <c r="O27" s="9" t="s">
        <v>13</v>
      </c>
      <c r="P27" s="9" t="s">
        <v>12</v>
      </c>
      <c r="Q27" s="9" t="s">
        <v>13</v>
      </c>
      <c r="R27" s="9" t="s">
        <v>12</v>
      </c>
      <c r="S27" s="9" t="s">
        <v>13</v>
      </c>
      <c r="T27" s="9" t="s">
        <v>12</v>
      </c>
      <c r="U27" s="9" t="s">
        <v>13</v>
      </c>
      <c r="V27" s="10" t="s">
        <v>14</v>
      </c>
    </row>
    <row r="28" spans="1:22" x14ac:dyDescent="0.25">
      <c r="A28" s="3">
        <v>1</v>
      </c>
      <c r="B28" s="11">
        <f t="shared" ref="B28:V35" si="6">B4*9/1203125</f>
        <v>0</v>
      </c>
      <c r="C28" s="11">
        <f t="shared" si="6"/>
        <v>0</v>
      </c>
      <c r="D28" s="11">
        <f t="shared" si="6"/>
        <v>0</v>
      </c>
      <c r="E28" s="11">
        <f t="shared" si="6"/>
        <v>0</v>
      </c>
      <c r="F28" s="11">
        <f t="shared" si="6"/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2">
        <f t="shared" si="6"/>
        <v>0</v>
      </c>
    </row>
    <row r="29" spans="1:22" x14ac:dyDescent="0.25">
      <c r="A29" s="5">
        <v>2</v>
      </c>
      <c r="B29" s="13">
        <f t="shared" si="6"/>
        <v>0</v>
      </c>
      <c r="C29" s="13">
        <f t="shared" si="6"/>
        <v>0</v>
      </c>
      <c r="D29" s="13">
        <f t="shared" si="6"/>
        <v>0</v>
      </c>
      <c r="E29" s="13">
        <f t="shared" si="6"/>
        <v>0</v>
      </c>
      <c r="F29" s="13">
        <f t="shared" si="6"/>
        <v>0</v>
      </c>
      <c r="G29" s="13">
        <f t="shared" si="6"/>
        <v>0</v>
      </c>
      <c r="H29" s="13">
        <f t="shared" si="6"/>
        <v>0</v>
      </c>
      <c r="I29" s="13">
        <f t="shared" si="6"/>
        <v>0</v>
      </c>
      <c r="J29" s="13">
        <f t="shared" si="6"/>
        <v>0</v>
      </c>
      <c r="K29" s="13">
        <f t="shared" si="6"/>
        <v>0</v>
      </c>
      <c r="L29" s="13">
        <f t="shared" si="6"/>
        <v>0</v>
      </c>
      <c r="M29" s="13">
        <f t="shared" si="6"/>
        <v>0</v>
      </c>
      <c r="N29" s="13">
        <f t="shared" si="6"/>
        <v>0</v>
      </c>
      <c r="O29" s="13">
        <f t="shared" si="6"/>
        <v>0</v>
      </c>
      <c r="P29" s="13">
        <f t="shared" si="6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  <c r="V29" s="14">
        <f t="shared" si="6"/>
        <v>0</v>
      </c>
    </row>
    <row r="30" spans="1:22" x14ac:dyDescent="0.25">
      <c r="A30" s="1">
        <v>3</v>
      </c>
      <c r="B30" s="15">
        <f t="shared" si="6"/>
        <v>0</v>
      </c>
      <c r="C30" s="15">
        <f t="shared" si="6"/>
        <v>0</v>
      </c>
      <c r="D30" s="15">
        <f t="shared" si="6"/>
        <v>0</v>
      </c>
      <c r="E30" s="15">
        <f t="shared" si="6"/>
        <v>0</v>
      </c>
      <c r="F30" s="15">
        <f t="shared" si="6"/>
        <v>0</v>
      </c>
      <c r="G30" s="15">
        <f t="shared" si="6"/>
        <v>0</v>
      </c>
      <c r="H30" s="15">
        <f t="shared" si="6"/>
        <v>0</v>
      </c>
      <c r="I30" s="15">
        <f t="shared" si="6"/>
        <v>0</v>
      </c>
      <c r="J30" s="15">
        <f t="shared" si="6"/>
        <v>0</v>
      </c>
      <c r="K30" s="15">
        <f t="shared" si="6"/>
        <v>0</v>
      </c>
      <c r="L30" s="15">
        <f t="shared" si="6"/>
        <v>0</v>
      </c>
      <c r="M30" s="15">
        <f t="shared" si="6"/>
        <v>0</v>
      </c>
      <c r="N30" s="15">
        <f t="shared" si="6"/>
        <v>0</v>
      </c>
      <c r="O30" s="15">
        <f t="shared" si="6"/>
        <v>0</v>
      </c>
      <c r="P30" s="15">
        <f t="shared" si="6"/>
        <v>0</v>
      </c>
      <c r="Q30" s="15">
        <f t="shared" si="6"/>
        <v>0</v>
      </c>
      <c r="R30" s="15">
        <f t="shared" si="6"/>
        <v>0</v>
      </c>
      <c r="S30" s="15">
        <f t="shared" si="6"/>
        <v>0</v>
      </c>
      <c r="T30" s="15">
        <f t="shared" si="6"/>
        <v>0</v>
      </c>
      <c r="U30" s="15">
        <f t="shared" si="6"/>
        <v>0</v>
      </c>
      <c r="V30" s="16">
        <f t="shared" si="6"/>
        <v>0</v>
      </c>
    </row>
    <row r="31" spans="1:22" x14ac:dyDescent="0.25">
      <c r="A31" s="5">
        <v>4</v>
      </c>
      <c r="B31" s="13">
        <f t="shared" si="6"/>
        <v>0</v>
      </c>
      <c r="C31" s="13">
        <f t="shared" si="6"/>
        <v>0</v>
      </c>
      <c r="D31" s="13">
        <f t="shared" si="6"/>
        <v>0</v>
      </c>
      <c r="E31" s="13">
        <f t="shared" si="6"/>
        <v>0</v>
      </c>
      <c r="F31" s="13">
        <f t="shared" si="6"/>
        <v>0</v>
      </c>
      <c r="G31" s="13">
        <f t="shared" si="6"/>
        <v>0</v>
      </c>
      <c r="H31" s="13">
        <f t="shared" si="6"/>
        <v>0</v>
      </c>
      <c r="I31" s="13">
        <f t="shared" si="6"/>
        <v>0</v>
      </c>
      <c r="J31" s="13">
        <f t="shared" si="6"/>
        <v>0</v>
      </c>
      <c r="K31" s="13">
        <f t="shared" si="6"/>
        <v>0</v>
      </c>
      <c r="L31" s="13">
        <f t="shared" si="6"/>
        <v>0</v>
      </c>
      <c r="M31" s="13">
        <f t="shared" si="6"/>
        <v>0</v>
      </c>
      <c r="N31" s="13">
        <f t="shared" si="6"/>
        <v>0</v>
      </c>
      <c r="O31" s="13">
        <f t="shared" si="6"/>
        <v>0</v>
      </c>
      <c r="P31" s="13">
        <f t="shared" si="6"/>
        <v>0</v>
      </c>
      <c r="Q31" s="13">
        <f t="shared" si="6"/>
        <v>0</v>
      </c>
      <c r="R31" s="13">
        <f t="shared" si="6"/>
        <v>0</v>
      </c>
      <c r="S31" s="13">
        <f t="shared" si="6"/>
        <v>0</v>
      </c>
      <c r="T31" s="13">
        <f t="shared" si="6"/>
        <v>0</v>
      </c>
      <c r="U31" s="13">
        <f t="shared" si="6"/>
        <v>0</v>
      </c>
      <c r="V31" s="14">
        <f t="shared" si="6"/>
        <v>0</v>
      </c>
    </row>
    <row r="32" spans="1:22" x14ac:dyDescent="0.25">
      <c r="A32" s="1">
        <v>5</v>
      </c>
      <c r="B32" s="15">
        <f t="shared" si="6"/>
        <v>0</v>
      </c>
      <c r="C32" s="15">
        <f t="shared" si="6"/>
        <v>0</v>
      </c>
      <c r="D32" s="15">
        <f t="shared" si="6"/>
        <v>0</v>
      </c>
      <c r="E32" s="15">
        <f t="shared" si="6"/>
        <v>0</v>
      </c>
      <c r="F32" s="15">
        <f t="shared" si="6"/>
        <v>0</v>
      </c>
      <c r="G32" s="15">
        <f t="shared" si="6"/>
        <v>0</v>
      </c>
      <c r="H32" s="15">
        <f t="shared" si="6"/>
        <v>0</v>
      </c>
      <c r="I32" s="15">
        <f t="shared" si="6"/>
        <v>0</v>
      </c>
      <c r="J32" s="15">
        <f t="shared" si="6"/>
        <v>0</v>
      </c>
      <c r="K32" s="15">
        <f t="shared" si="6"/>
        <v>0</v>
      </c>
      <c r="L32" s="15">
        <f t="shared" si="6"/>
        <v>0</v>
      </c>
      <c r="M32" s="15">
        <f t="shared" si="6"/>
        <v>0</v>
      </c>
      <c r="N32" s="15">
        <f t="shared" si="6"/>
        <v>0</v>
      </c>
      <c r="O32" s="15">
        <f t="shared" si="6"/>
        <v>0</v>
      </c>
      <c r="P32" s="15">
        <f t="shared" si="6"/>
        <v>0</v>
      </c>
      <c r="Q32" s="15">
        <f t="shared" si="6"/>
        <v>0</v>
      </c>
      <c r="R32" s="15">
        <f t="shared" si="6"/>
        <v>0</v>
      </c>
      <c r="S32" s="15">
        <f t="shared" si="6"/>
        <v>0</v>
      </c>
      <c r="T32" s="15">
        <f t="shared" si="6"/>
        <v>0</v>
      </c>
      <c r="U32" s="15">
        <f t="shared" si="6"/>
        <v>0</v>
      </c>
      <c r="V32" s="16">
        <f t="shared" si="6"/>
        <v>0</v>
      </c>
    </row>
    <row r="33" spans="1:22" x14ac:dyDescent="0.25">
      <c r="A33" s="5">
        <v>6</v>
      </c>
      <c r="B33" s="13">
        <f t="shared" si="6"/>
        <v>0</v>
      </c>
      <c r="C33" s="13">
        <f t="shared" si="6"/>
        <v>0</v>
      </c>
      <c r="D33" s="13">
        <f t="shared" si="6"/>
        <v>0</v>
      </c>
      <c r="E33" s="13">
        <f t="shared" si="6"/>
        <v>0</v>
      </c>
      <c r="F33" s="13">
        <f t="shared" si="6"/>
        <v>0</v>
      </c>
      <c r="G33" s="13">
        <f t="shared" si="6"/>
        <v>0</v>
      </c>
      <c r="H33" s="13">
        <f t="shared" si="6"/>
        <v>0</v>
      </c>
      <c r="I33" s="13">
        <f t="shared" si="6"/>
        <v>0</v>
      </c>
      <c r="J33" s="13">
        <f t="shared" si="6"/>
        <v>0</v>
      </c>
      <c r="K33" s="13">
        <f t="shared" si="6"/>
        <v>0</v>
      </c>
      <c r="L33" s="13">
        <f t="shared" si="6"/>
        <v>0</v>
      </c>
      <c r="M33" s="13">
        <f t="shared" si="6"/>
        <v>0</v>
      </c>
      <c r="N33" s="13">
        <f t="shared" si="6"/>
        <v>0</v>
      </c>
      <c r="O33" s="13">
        <f t="shared" si="6"/>
        <v>0</v>
      </c>
      <c r="P33" s="13">
        <f t="shared" si="6"/>
        <v>0</v>
      </c>
      <c r="Q33" s="13">
        <f t="shared" si="6"/>
        <v>0</v>
      </c>
      <c r="R33" s="13">
        <f t="shared" si="6"/>
        <v>0</v>
      </c>
      <c r="S33" s="13">
        <f t="shared" si="6"/>
        <v>0</v>
      </c>
      <c r="T33" s="13">
        <f t="shared" si="6"/>
        <v>0</v>
      </c>
      <c r="U33" s="13">
        <f t="shared" si="6"/>
        <v>0</v>
      </c>
      <c r="V33" s="14">
        <f t="shared" si="6"/>
        <v>0</v>
      </c>
    </row>
    <row r="34" spans="1:22" ht="15.75" thickBot="1" x14ac:dyDescent="0.3">
      <c r="A34" s="4">
        <v>7</v>
      </c>
      <c r="B34" s="17">
        <f t="shared" si="6"/>
        <v>0</v>
      </c>
      <c r="C34" s="17">
        <f t="shared" si="6"/>
        <v>0</v>
      </c>
      <c r="D34" s="17">
        <f t="shared" si="6"/>
        <v>0</v>
      </c>
      <c r="E34" s="17">
        <f t="shared" si="6"/>
        <v>0</v>
      </c>
      <c r="F34" s="17">
        <f t="shared" si="6"/>
        <v>0</v>
      </c>
      <c r="G34" s="17">
        <f t="shared" si="6"/>
        <v>0</v>
      </c>
      <c r="H34" s="17">
        <f t="shared" si="6"/>
        <v>0</v>
      </c>
      <c r="I34" s="17">
        <f t="shared" si="6"/>
        <v>0</v>
      </c>
      <c r="J34" s="17">
        <f t="shared" si="6"/>
        <v>0</v>
      </c>
      <c r="K34" s="17">
        <f t="shared" si="6"/>
        <v>0</v>
      </c>
      <c r="L34" s="17">
        <f t="shared" si="6"/>
        <v>0</v>
      </c>
      <c r="M34" s="17">
        <f t="shared" si="6"/>
        <v>0</v>
      </c>
      <c r="N34" s="17">
        <f t="shared" si="6"/>
        <v>0</v>
      </c>
      <c r="O34" s="17">
        <f t="shared" si="6"/>
        <v>0</v>
      </c>
      <c r="P34" s="17">
        <f t="shared" si="6"/>
        <v>0</v>
      </c>
      <c r="Q34" s="17">
        <f t="shared" si="6"/>
        <v>0</v>
      </c>
      <c r="R34" s="17">
        <f t="shared" si="6"/>
        <v>0</v>
      </c>
      <c r="S34" s="17">
        <f t="shared" si="6"/>
        <v>0</v>
      </c>
      <c r="T34" s="17">
        <f t="shared" si="6"/>
        <v>0</v>
      </c>
      <c r="U34" s="17">
        <f t="shared" si="6"/>
        <v>0</v>
      </c>
      <c r="V34" s="18">
        <f t="shared" si="6"/>
        <v>0</v>
      </c>
    </row>
    <row r="35" spans="1:22" ht="15.75" thickBot="1" x14ac:dyDescent="0.3">
      <c r="A35" s="6" t="s">
        <v>15</v>
      </c>
      <c r="B35" s="19">
        <f t="shared" si="6"/>
        <v>0</v>
      </c>
      <c r="C35" s="19">
        <f t="shared" si="6"/>
        <v>0</v>
      </c>
      <c r="D35" s="19">
        <f t="shared" si="6"/>
        <v>0</v>
      </c>
      <c r="E35" s="19">
        <f t="shared" si="6"/>
        <v>0</v>
      </c>
      <c r="F35" s="19">
        <f t="shared" si="6"/>
        <v>0</v>
      </c>
      <c r="G35" s="19">
        <f t="shared" si="6"/>
        <v>0</v>
      </c>
      <c r="H35" s="19">
        <f t="shared" si="6"/>
        <v>0</v>
      </c>
      <c r="I35" s="19">
        <f t="shared" si="6"/>
        <v>0</v>
      </c>
      <c r="J35" s="19">
        <f t="shared" si="6"/>
        <v>0</v>
      </c>
      <c r="K35" s="19">
        <f t="shared" si="6"/>
        <v>0</v>
      </c>
      <c r="L35" s="19">
        <f t="shared" si="6"/>
        <v>0</v>
      </c>
      <c r="M35" s="19">
        <f t="shared" si="6"/>
        <v>0</v>
      </c>
      <c r="N35" s="19">
        <f t="shared" si="6"/>
        <v>0</v>
      </c>
      <c r="O35" s="19">
        <f t="shared" si="6"/>
        <v>0</v>
      </c>
      <c r="P35" s="19">
        <f t="shared" si="6"/>
        <v>0</v>
      </c>
      <c r="Q35" s="19">
        <f t="shared" si="6"/>
        <v>0</v>
      </c>
      <c r="R35" s="19">
        <f t="shared" si="6"/>
        <v>0</v>
      </c>
      <c r="S35" s="19">
        <f t="shared" si="6"/>
        <v>0</v>
      </c>
      <c r="T35" s="19">
        <f t="shared" si="6"/>
        <v>0</v>
      </c>
      <c r="U35" s="19">
        <f t="shared" si="6"/>
        <v>0</v>
      </c>
      <c r="V35" s="20">
        <f t="shared" si="6"/>
        <v>0</v>
      </c>
    </row>
    <row r="37" spans="1:22" ht="15.75" thickBot="1" x14ac:dyDescent="0.3">
      <c r="A37" s="7" t="s">
        <v>44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</row>
    <row r="38" spans="1:22" x14ac:dyDescent="0.25">
      <c r="A38" s="26" t="s">
        <v>2</v>
      </c>
      <c r="B38" s="25" t="s">
        <v>3</v>
      </c>
      <c r="C38" s="25"/>
      <c r="D38" s="25" t="s">
        <v>4</v>
      </c>
      <c r="E38" s="25"/>
      <c r="F38" s="25" t="s">
        <v>41</v>
      </c>
      <c r="G38" s="25"/>
      <c r="H38" s="25" t="s">
        <v>5</v>
      </c>
      <c r="I38" s="25"/>
      <c r="J38" s="25" t="s">
        <v>6</v>
      </c>
      <c r="K38" s="25"/>
      <c r="L38" s="25" t="s">
        <v>7</v>
      </c>
      <c r="M38" s="25"/>
      <c r="N38" s="25" t="s">
        <v>8</v>
      </c>
      <c r="O38" s="25"/>
      <c r="P38" s="25" t="s">
        <v>9</v>
      </c>
      <c r="Q38" s="25"/>
      <c r="R38" s="25" t="s">
        <v>10</v>
      </c>
      <c r="S38" s="25"/>
      <c r="T38" s="25" t="s">
        <v>11</v>
      </c>
      <c r="U38" s="25"/>
      <c r="V38" s="30"/>
    </row>
    <row r="39" spans="1:22" ht="15.75" thickBot="1" x14ac:dyDescent="0.3">
      <c r="A39" s="27"/>
      <c r="B39" s="9" t="s">
        <v>12</v>
      </c>
      <c r="C39" s="9" t="s">
        <v>13</v>
      </c>
      <c r="D39" s="9" t="s">
        <v>12</v>
      </c>
      <c r="E39" s="9" t="s">
        <v>13</v>
      </c>
      <c r="F39" s="9" t="s">
        <v>12</v>
      </c>
      <c r="G39" s="9" t="s">
        <v>13</v>
      </c>
      <c r="H39" s="9" t="s">
        <v>12</v>
      </c>
      <c r="I39" s="9" t="s">
        <v>13</v>
      </c>
      <c r="J39" s="9" t="s">
        <v>12</v>
      </c>
      <c r="K39" s="9" t="s">
        <v>13</v>
      </c>
      <c r="L39" s="9" t="s">
        <v>12</v>
      </c>
      <c r="M39" s="9" t="s">
        <v>13</v>
      </c>
      <c r="N39" s="9" t="s">
        <v>12</v>
      </c>
      <c r="O39" s="9" t="s">
        <v>13</v>
      </c>
      <c r="P39" s="9" t="s">
        <v>12</v>
      </c>
      <c r="Q39" s="9" t="s">
        <v>13</v>
      </c>
      <c r="R39" s="9" t="s">
        <v>12</v>
      </c>
      <c r="S39" s="9" t="s">
        <v>13</v>
      </c>
      <c r="T39" s="9" t="s">
        <v>12</v>
      </c>
      <c r="U39" s="9" t="s">
        <v>13</v>
      </c>
      <c r="V39" s="10" t="s">
        <v>14</v>
      </c>
    </row>
    <row r="40" spans="1:22" x14ac:dyDescent="0.25">
      <c r="A40" s="3">
        <v>1</v>
      </c>
      <c r="B40" s="21" t="e">
        <f>B4*365/2500/2500/'cbb_table.2001.dat'!$B2*12</f>
        <v>#DIV/0!</v>
      </c>
      <c r="C40" s="21" t="e">
        <f>C4*365/2500/2500/'cbb_table.2001.dat'!$B2*12</f>
        <v>#DIV/0!</v>
      </c>
      <c r="D40" s="21" t="e">
        <f>D4*365/2500/2500/'cbb_table.2001.dat'!$B2*12</f>
        <v>#DIV/0!</v>
      </c>
      <c r="E40" s="21" t="e">
        <f>E4*365/2500/2500/'cbb_table.2001.dat'!$B2*12</f>
        <v>#DIV/0!</v>
      </c>
      <c r="F40" s="21" t="e">
        <f>F4*365/2500/2500/'cbb_table.2001.dat'!$B2*12</f>
        <v>#DIV/0!</v>
      </c>
      <c r="G40" s="21" t="e">
        <f>G4*365/2500/2500/'cbb_table.2001.dat'!$B2*12</f>
        <v>#DIV/0!</v>
      </c>
      <c r="H40" s="21" t="e">
        <f>H4*365/2500/2500/'cbb_table.2001.dat'!$B2*12</f>
        <v>#DIV/0!</v>
      </c>
      <c r="I40" s="21" t="e">
        <f>I4*365/2500/2500/'cbb_table.2001.dat'!$B2*12</f>
        <v>#DIV/0!</v>
      </c>
      <c r="J40" s="21" t="e">
        <f>J4*365/2500/2500/'cbb_table.2001.dat'!$B2*12</f>
        <v>#DIV/0!</v>
      </c>
      <c r="K40" s="21" t="e">
        <f>K4*365/2500/2500/'cbb_table.2001.dat'!$B2*12</f>
        <v>#DIV/0!</v>
      </c>
      <c r="L40" s="21" t="e">
        <f>L4*365/2500/2500/'cbb_table.2001.dat'!$B2*12</f>
        <v>#DIV/0!</v>
      </c>
      <c r="M40" s="21" t="e">
        <f>M4*365/2500/2500/'cbb_table.2001.dat'!$B2*12</f>
        <v>#DIV/0!</v>
      </c>
      <c r="N40" s="21" t="e">
        <f>N4*365/2500/2500/'cbb_table.2001.dat'!$B2*12</f>
        <v>#DIV/0!</v>
      </c>
      <c r="O40" s="21" t="e">
        <f>O4*365/2500/2500/'cbb_table.2001.dat'!$B2*12</f>
        <v>#DIV/0!</v>
      </c>
      <c r="P40" s="21" t="e">
        <f>P4*365/2500/2500/'cbb_table.2001.dat'!$B2*12</f>
        <v>#DIV/0!</v>
      </c>
      <c r="Q40" s="21" t="e">
        <f>Q4*365/2500/2500/'cbb_table.2001.dat'!$B2*12</f>
        <v>#DIV/0!</v>
      </c>
      <c r="R40" s="21" t="e">
        <f>R4*365/2500/2500/'cbb_table.2001.dat'!$B2*12</f>
        <v>#DIV/0!</v>
      </c>
      <c r="S40" s="21" t="e">
        <f>S4*365/2500/2500/'cbb_table.2001.dat'!$B2*12</f>
        <v>#DIV/0!</v>
      </c>
      <c r="T40" s="21" t="e">
        <f>T4*365/2500/2500/'cbb_table.2001.dat'!$B2*12</f>
        <v>#DIV/0!</v>
      </c>
      <c r="U40" s="21" t="e">
        <f>U4*365/2500/2500/'cbb_table.2001.dat'!$B2*12</f>
        <v>#DIV/0!</v>
      </c>
      <c r="V40" s="21" t="e">
        <f>V4*365/2500/2500/'cbb_table.2001.dat'!$B2*12</f>
        <v>#DIV/0!</v>
      </c>
    </row>
    <row r="41" spans="1:22" x14ac:dyDescent="0.25">
      <c r="A41" s="5">
        <v>2</v>
      </c>
      <c r="B41" s="23" t="e">
        <f>B5*365/2500/2500/'cbb_table.2001.dat'!$B3*12</f>
        <v>#DIV/0!</v>
      </c>
      <c r="C41" s="23" t="e">
        <f>C5*365/2500/2500/'cbb_table.2001.dat'!$B3*12</f>
        <v>#DIV/0!</v>
      </c>
      <c r="D41" s="23" t="e">
        <f>D5*365/2500/2500/'cbb_table.2001.dat'!$B3*12</f>
        <v>#DIV/0!</v>
      </c>
      <c r="E41" s="23" t="e">
        <f>E5*365/2500/2500/'cbb_table.2001.dat'!$B3*12</f>
        <v>#DIV/0!</v>
      </c>
      <c r="F41" s="23" t="e">
        <f>F5*365/2500/2500/'cbb_table.2001.dat'!$B3*12</f>
        <v>#DIV/0!</v>
      </c>
      <c r="G41" s="23" t="e">
        <f>G5*365/2500/2500/'cbb_table.2001.dat'!$B3*12</f>
        <v>#DIV/0!</v>
      </c>
      <c r="H41" s="23" t="e">
        <f>H5*365/2500/2500/'cbb_table.2001.dat'!$B3*12</f>
        <v>#DIV/0!</v>
      </c>
      <c r="I41" s="23" t="e">
        <f>I5*365/2500/2500/'cbb_table.2001.dat'!$B3*12</f>
        <v>#DIV/0!</v>
      </c>
      <c r="J41" s="23" t="e">
        <f>J5*365/2500/2500/'cbb_table.2001.dat'!$B3*12</f>
        <v>#DIV/0!</v>
      </c>
      <c r="K41" s="23" t="e">
        <f>K5*365/2500/2500/'cbb_table.2001.dat'!$B3*12</f>
        <v>#DIV/0!</v>
      </c>
      <c r="L41" s="23" t="e">
        <f>L5*365/2500/2500/'cbb_table.2001.dat'!$B3*12</f>
        <v>#DIV/0!</v>
      </c>
      <c r="M41" s="23" t="e">
        <f>M5*365/2500/2500/'cbb_table.2001.dat'!$B3*12</f>
        <v>#DIV/0!</v>
      </c>
      <c r="N41" s="23" t="e">
        <f>N5*365/2500/2500/'cbb_table.2001.dat'!$B3*12</f>
        <v>#DIV/0!</v>
      </c>
      <c r="O41" s="23" t="e">
        <f>O5*365/2500/2500/'cbb_table.2001.dat'!$B3*12</f>
        <v>#DIV/0!</v>
      </c>
      <c r="P41" s="23" t="e">
        <f>P5*365/2500/2500/'cbb_table.2001.dat'!$B3*12</f>
        <v>#DIV/0!</v>
      </c>
      <c r="Q41" s="23" t="e">
        <f>Q5*365/2500/2500/'cbb_table.2001.dat'!$B3*12</f>
        <v>#DIV/0!</v>
      </c>
      <c r="R41" s="23" t="e">
        <f>R5*365/2500/2500/'cbb_table.2001.dat'!$B3*12</f>
        <v>#DIV/0!</v>
      </c>
      <c r="S41" s="23" t="e">
        <f>S5*365/2500/2500/'cbb_table.2001.dat'!$B3*12</f>
        <v>#DIV/0!</v>
      </c>
      <c r="T41" s="23" t="e">
        <f>T5*365/2500/2500/'cbb_table.2001.dat'!$B3*12</f>
        <v>#DIV/0!</v>
      </c>
      <c r="U41" s="23" t="e">
        <f>U5*365/2500/2500/'cbb_table.2001.dat'!$B3*12</f>
        <v>#DIV/0!</v>
      </c>
      <c r="V41" s="23" t="e">
        <f>V5*365/2500/2500/'cbb_table.2001.dat'!$B3*12</f>
        <v>#DIV/0!</v>
      </c>
    </row>
    <row r="42" spans="1:22" x14ac:dyDescent="0.25">
      <c r="A42" s="1">
        <v>3</v>
      </c>
      <c r="B42" s="21" t="e">
        <f>B6*365/2500/2500/'cbb_table.2001.dat'!$B4*12</f>
        <v>#DIV/0!</v>
      </c>
      <c r="C42" s="21" t="e">
        <f>C6*365/2500/2500/'cbb_table.2001.dat'!$B4*12</f>
        <v>#DIV/0!</v>
      </c>
      <c r="D42" s="21" t="e">
        <f>D6*365/2500/2500/'cbb_table.2001.dat'!$B4*12</f>
        <v>#DIV/0!</v>
      </c>
      <c r="E42" s="21" t="e">
        <f>E6*365/2500/2500/'cbb_table.2001.dat'!$B4*12</f>
        <v>#DIV/0!</v>
      </c>
      <c r="F42" s="21" t="e">
        <f>F6*365/2500/2500/'cbb_table.2001.dat'!$B4*12</f>
        <v>#DIV/0!</v>
      </c>
      <c r="G42" s="21" t="e">
        <f>G6*365/2500/2500/'cbb_table.2001.dat'!$B4*12</f>
        <v>#DIV/0!</v>
      </c>
      <c r="H42" s="21" t="e">
        <f>H6*365/2500/2500/'cbb_table.2001.dat'!$B4*12</f>
        <v>#DIV/0!</v>
      </c>
      <c r="I42" s="21" t="e">
        <f>I6*365/2500/2500/'cbb_table.2001.dat'!$B4*12</f>
        <v>#DIV/0!</v>
      </c>
      <c r="J42" s="21" t="e">
        <f>J6*365/2500/2500/'cbb_table.2001.dat'!$B4*12</f>
        <v>#DIV/0!</v>
      </c>
      <c r="K42" s="21" t="e">
        <f>K6*365/2500/2500/'cbb_table.2001.dat'!$B4*12</f>
        <v>#DIV/0!</v>
      </c>
      <c r="L42" s="21" t="e">
        <f>L6*365/2500/2500/'cbb_table.2001.dat'!$B4*12</f>
        <v>#DIV/0!</v>
      </c>
      <c r="M42" s="21" t="e">
        <f>M6*365/2500/2500/'cbb_table.2001.dat'!$B4*12</f>
        <v>#DIV/0!</v>
      </c>
      <c r="N42" s="21" t="e">
        <f>N6*365/2500/2500/'cbb_table.2001.dat'!$B4*12</f>
        <v>#DIV/0!</v>
      </c>
      <c r="O42" s="21" t="e">
        <f>O6*365/2500/2500/'cbb_table.2001.dat'!$B4*12</f>
        <v>#DIV/0!</v>
      </c>
      <c r="P42" s="21" t="e">
        <f>P6*365/2500/2500/'cbb_table.2001.dat'!$B4*12</f>
        <v>#DIV/0!</v>
      </c>
      <c r="Q42" s="21" t="e">
        <f>Q6*365/2500/2500/'cbb_table.2001.dat'!$B4*12</f>
        <v>#DIV/0!</v>
      </c>
      <c r="R42" s="21" t="e">
        <f>R6*365/2500/2500/'cbb_table.2001.dat'!$B4*12</f>
        <v>#DIV/0!</v>
      </c>
      <c r="S42" s="21" t="e">
        <f>S6*365/2500/2500/'cbb_table.2001.dat'!$B4*12</f>
        <v>#DIV/0!</v>
      </c>
      <c r="T42" s="21" t="e">
        <f>T6*365/2500/2500/'cbb_table.2001.dat'!$B4*12</f>
        <v>#DIV/0!</v>
      </c>
      <c r="U42" s="21" t="e">
        <f>U6*365/2500/2500/'cbb_table.2001.dat'!$B4*12</f>
        <v>#DIV/0!</v>
      </c>
      <c r="V42" s="21" t="e">
        <f>V6*365/2500/2500/'cbb_table.2001.dat'!$B4*12</f>
        <v>#DIV/0!</v>
      </c>
    </row>
    <row r="43" spans="1:22" x14ac:dyDescent="0.25">
      <c r="A43" s="5">
        <v>4</v>
      </c>
      <c r="B43" s="23" t="e">
        <f>B7*365/2500/2500/'cbb_table.2001.dat'!$B5*12</f>
        <v>#DIV/0!</v>
      </c>
      <c r="C43" s="23" t="e">
        <f>C7*365/2500/2500/'cbb_table.2001.dat'!$B5*12</f>
        <v>#DIV/0!</v>
      </c>
      <c r="D43" s="23" t="e">
        <f>D7*365/2500/2500/'cbb_table.2001.dat'!$B5*12</f>
        <v>#DIV/0!</v>
      </c>
      <c r="E43" s="23" t="e">
        <f>E7*365/2500/2500/'cbb_table.2001.dat'!$B5*12</f>
        <v>#DIV/0!</v>
      </c>
      <c r="F43" s="23" t="e">
        <f>F7*365/2500/2500/'cbb_table.2001.dat'!$B5*12</f>
        <v>#DIV/0!</v>
      </c>
      <c r="G43" s="23" t="e">
        <f>G7*365/2500/2500/'cbb_table.2001.dat'!$B5*12</f>
        <v>#DIV/0!</v>
      </c>
      <c r="H43" s="23" t="e">
        <f>H7*365/2500/2500/'cbb_table.2001.dat'!$B5*12</f>
        <v>#DIV/0!</v>
      </c>
      <c r="I43" s="23" t="e">
        <f>I7*365/2500/2500/'cbb_table.2001.dat'!$B5*12</f>
        <v>#DIV/0!</v>
      </c>
      <c r="J43" s="23" t="e">
        <f>J7*365/2500/2500/'cbb_table.2001.dat'!$B5*12</f>
        <v>#DIV/0!</v>
      </c>
      <c r="K43" s="23" t="e">
        <f>K7*365/2500/2500/'cbb_table.2001.dat'!$B5*12</f>
        <v>#DIV/0!</v>
      </c>
      <c r="L43" s="23" t="e">
        <f>L7*365/2500/2500/'cbb_table.2001.dat'!$B5*12</f>
        <v>#DIV/0!</v>
      </c>
      <c r="M43" s="23" t="e">
        <f>M7*365/2500/2500/'cbb_table.2001.dat'!$B5*12</f>
        <v>#DIV/0!</v>
      </c>
      <c r="N43" s="23" t="e">
        <f>N7*365/2500/2500/'cbb_table.2001.dat'!$B5*12</f>
        <v>#DIV/0!</v>
      </c>
      <c r="O43" s="23" t="e">
        <f>O7*365/2500/2500/'cbb_table.2001.dat'!$B5*12</f>
        <v>#DIV/0!</v>
      </c>
      <c r="P43" s="23" t="e">
        <f>P7*365/2500/2500/'cbb_table.2001.dat'!$B5*12</f>
        <v>#DIV/0!</v>
      </c>
      <c r="Q43" s="23" t="e">
        <f>Q7*365/2500/2500/'cbb_table.2001.dat'!$B5*12</f>
        <v>#DIV/0!</v>
      </c>
      <c r="R43" s="23" t="e">
        <f>R7*365/2500/2500/'cbb_table.2001.dat'!$B5*12</f>
        <v>#DIV/0!</v>
      </c>
      <c r="S43" s="23" t="e">
        <f>S7*365/2500/2500/'cbb_table.2001.dat'!$B5*12</f>
        <v>#DIV/0!</v>
      </c>
      <c r="T43" s="23" t="e">
        <f>T7*365/2500/2500/'cbb_table.2001.dat'!$B5*12</f>
        <v>#DIV/0!</v>
      </c>
      <c r="U43" s="23" t="e">
        <f>U7*365/2500/2500/'cbb_table.2001.dat'!$B5*12</f>
        <v>#DIV/0!</v>
      </c>
      <c r="V43" s="23" t="e">
        <f>V7*365/2500/2500/'cbb_table.2001.dat'!$B5*12</f>
        <v>#DIV/0!</v>
      </c>
    </row>
    <row r="44" spans="1:22" x14ac:dyDescent="0.25">
      <c r="A44" s="1">
        <v>5</v>
      </c>
      <c r="B44" s="21" t="e">
        <f>B8*365/2500/2500/'cbb_table.2001.dat'!$B6*12</f>
        <v>#DIV/0!</v>
      </c>
      <c r="C44" s="21" t="e">
        <f>C8*365/2500/2500/'cbb_table.2001.dat'!$B6*12</f>
        <v>#DIV/0!</v>
      </c>
      <c r="D44" s="21" t="e">
        <f>D8*365/2500/2500/'cbb_table.2001.dat'!$B6*12</f>
        <v>#DIV/0!</v>
      </c>
      <c r="E44" s="21" t="e">
        <f>E8*365/2500/2500/'cbb_table.2001.dat'!$B6*12</f>
        <v>#DIV/0!</v>
      </c>
      <c r="F44" s="21" t="e">
        <f>F8*365/2500/2500/'cbb_table.2001.dat'!$B6*12</f>
        <v>#DIV/0!</v>
      </c>
      <c r="G44" s="21" t="e">
        <f>G8*365/2500/2500/'cbb_table.2001.dat'!$B6*12</f>
        <v>#DIV/0!</v>
      </c>
      <c r="H44" s="21" t="e">
        <f>H8*365/2500/2500/'cbb_table.2001.dat'!$B6*12</f>
        <v>#DIV/0!</v>
      </c>
      <c r="I44" s="21" t="e">
        <f>I8*365/2500/2500/'cbb_table.2001.dat'!$B6*12</f>
        <v>#DIV/0!</v>
      </c>
      <c r="J44" s="21" t="e">
        <f>J8*365/2500/2500/'cbb_table.2001.dat'!$B6*12</f>
        <v>#DIV/0!</v>
      </c>
      <c r="K44" s="21" t="e">
        <f>K8*365/2500/2500/'cbb_table.2001.dat'!$B6*12</f>
        <v>#DIV/0!</v>
      </c>
      <c r="L44" s="21" t="e">
        <f>L8*365/2500/2500/'cbb_table.2001.dat'!$B6*12</f>
        <v>#DIV/0!</v>
      </c>
      <c r="M44" s="21" t="e">
        <f>M8*365/2500/2500/'cbb_table.2001.dat'!$B6*12</f>
        <v>#DIV/0!</v>
      </c>
      <c r="N44" s="21" t="e">
        <f>N8*365/2500/2500/'cbb_table.2001.dat'!$B6*12</f>
        <v>#DIV/0!</v>
      </c>
      <c r="O44" s="21" t="e">
        <f>O8*365/2500/2500/'cbb_table.2001.dat'!$B6*12</f>
        <v>#DIV/0!</v>
      </c>
      <c r="P44" s="21" t="e">
        <f>P8*365/2500/2500/'cbb_table.2001.dat'!$B6*12</f>
        <v>#DIV/0!</v>
      </c>
      <c r="Q44" s="21" t="e">
        <f>Q8*365/2500/2500/'cbb_table.2001.dat'!$B6*12</f>
        <v>#DIV/0!</v>
      </c>
      <c r="R44" s="21" t="e">
        <f>R8*365/2500/2500/'cbb_table.2001.dat'!$B6*12</f>
        <v>#DIV/0!</v>
      </c>
      <c r="S44" s="21" t="e">
        <f>S8*365/2500/2500/'cbb_table.2001.dat'!$B6*12</f>
        <v>#DIV/0!</v>
      </c>
      <c r="T44" s="21" t="e">
        <f>T8*365/2500/2500/'cbb_table.2001.dat'!$B6*12</f>
        <v>#DIV/0!</v>
      </c>
      <c r="U44" s="21" t="e">
        <f>U8*365/2500/2500/'cbb_table.2001.dat'!$B6*12</f>
        <v>#DIV/0!</v>
      </c>
      <c r="V44" s="21" t="e">
        <f>V8*365/2500/2500/'cbb_table.2001.dat'!$B6*12</f>
        <v>#DIV/0!</v>
      </c>
    </row>
    <row r="45" spans="1:22" x14ac:dyDescent="0.25">
      <c r="A45" s="5">
        <v>6</v>
      </c>
      <c r="B45" s="23" t="e">
        <f>B9*365/2500/2500/'cbb_table.2001.dat'!$B7*12</f>
        <v>#DIV/0!</v>
      </c>
      <c r="C45" s="23" t="e">
        <f>C9*365/2500/2500/'cbb_table.2001.dat'!$B7*12</f>
        <v>#DIV/0!</v>
      </c>
      <c r="D45" s="23" t="e">
        <f>D9*365/2500/2500/'cbb_table.2001.dat'!$B7*12</f>
        <v>#DIV/0!</v>
      </c>
      <c r="E45" s="23" t="e">
        <f>E9*365/2500/2500/'cbb_table.2001.dat'!$B7*12</f>
        <v>#DIV/0!</v>
      </c>
      <c r="F45" s="23" t="e">
        <f>F9*365/2500/2500/'cbb_table.2001.dat'!$B7*12</f>
        <v>#DIV/0!</v>
      </c>
      <c r="G45" s="23" t="e">
        <f>G9*365/2500/2500/'cbb_table.2001.dat'!$B7*12</f>
        <v>#DIV/0!</v>
      </c>
      <c r="H45" s="23" t="e">
        <f>H9*365/2500/2500/'cbb_table.2001.dat'!$B7*12</f>
        <v>#DIV/0!</v>
      </c>
      <c r="I45" s="23" t="e">
        <f>I9*365/2500/2500/'cbb_table.2001.dat'!$B7*12</f>
        <v>#DIV/0!</v>
      </c>
      <c r="J45" s="23" t="e">
        <f>J9*365/2500/2500/'cbb_table.2001.dat'!$B7*12</f>
        <v>#DIV/0!</v>
      </c>
      <c r="K45" s="23" t="e">
        <f>K9*365/2500/2500/'cbb_table.2001.dat'!$B7*12</f>
        <v>#DIV/0!</v>
      </c>
      <c r="L45" s="23" t="e">
        <f>L9*365/2500/2500/'cbb_table.2001.dat'!$B7*12</f>
        <v>#DIV/0!</v>
      </c>
      <c r="M45" s="23" t="e">
        <f>M9*365/2500/2500/'cbb_table.2001.dat'!$B7*12</f>
        <v>#DIV/0!</v>
      </c>
      <c r="N45" s="23" t="e">
        <f>N9*365/2500/2500/'cbb_table.2001.dat'!$B7*12</f>
        <v>#DIV/0!</v>
      </c>
      <c r="O45" s="23" t="e">
        <f>O9*365/2500/2500/'cbb_table.2001.dat'!$B7*12</f>
        <v>#DIV/0!</v>
      </c>
      <c r="P45" s="23" t="e">
        <f>P9*365/2500/2500/'cbb_table.2001.dat'!$B7*12</f>
        <v>#DIV/0!</v>
      </c>
      <c r="Q45" s="23" t="e">
        <f>Q9*365/2500/2500/'cbb_table.2001.dat'!$B7*12</f>
        <v>#DIV/0!</v>
      </c>
      <c r="R45" s="23" t="e">
        <f>R9*365/2500/2500/'cbb_table.2001.dat'!$B7*12</f>
        <v>#DIV/0!</v>
      </c>
      <c r="S45" s="23" t="e">
        <f>S9*365/2500/2500/'cbb_table.2001.dat'!$B7*12</f>
        <v>#DIV/0!</v>
      </c>
      <c r="T45" s="23" t="e">
        <f>T9*365/2500/2500/'cbb_table.2001.dat'!$B7*12</f>
        <v>#DIV/0!</v>
      </c>
      <c r="U45" s="23" t="e">
        <f>U9*365/2500/2500/'cbb_table.2001.dat'!$B7*12</f>
        <v>#DIV/0!</v>
      </c>
      <c r="V45" s="23" t="e">
        <f>V9*365/2500/2500/'cbb_table.2001.dat'!$B7*12</f>
        <v>#DIV/0!</v>
      </c>
    </row>
    <row r="46" spans="1:22" ht="15.75" thickBot="1" x14ac:dyDescent="0.3">
      <c r="A46" s="2">
        <v>7</v>
      </c>
      <c r="B46" s="21" t="e">
        <f>B10*365/2500/2500/'cbb_table.2001.dat'!$B8*12</f>
        <v>#DIV/0!</v>
      </c>
      <c r="C46" s="21" t="e">
        <f>C10*365/2500/2500/'cbb_table.2001.dat'!$B8*12</f>
        <v>#DIV/0!</v>
      </c>
      <c r="D46" s="21" t="e">
        <f>D10*365/2500/2500/'cbb_table.2001.dat'!$B8*12</f>
        <v>#DIV/0!</v>
      </c>
      <c r="E46" s="21" t="e">
        <f>E10*365/2500/2500/'cbb_table.2001.dat'!$B8*12</f>
        <v>#DIV/0!</v>
      </c>
      <c r="F46" s="21" t="e">
        <f>F10*365/2500/2500/'cbb_table.2001.dat'!$B8*12</f>
        <v>#DIV/0!</v>
      </c>
      <c r="G46" s="21" t="e">
        <f>G10*365/2500/2500/'cbb_table.2001.dat'!$B8*12</f>
        <v>#DIV/0!</v>
      </c>
      <c r="H46" s="21" t="e">
        <f>H10*365/2500/2500/'cbb_table.2001.dat'!$B8*12</f>
        <v>#DIV/0!</v>
      </c>
      <c r="I46" s="21" t="e">
        <f>I10*365/2500/2500/'cbb_table.2001.dat'!$B8*12</f>
        <v>#DIV/0!</v>
      </c>
      <c r="J46" s="21" t="e">
        <f>J10*365/2500/2500/'cbb_table.2001.dat'!$B8*12</f>
        <v>#DIV/0!</v>
      </c>
      <c r="K46" s="21" t="e">
        <f>K10*365/2500/2500/'cbb_table.2001.dat'!$B8*12</f>
        <v>#DIV/0!</v>
      </c>
      <c r="L46" s="21" t="e">
        <f>L10*365/2500/2500/'cbb_table.2001.dat'!$B8*12</f>
        <v>#DIV/0!</v>
      </c>
      <c r="M46" s="21" t="e">
        <f>M10*365/2500/2500/'cbb_table.2001.dat'!$B8*12</f>
        <v>#DIV/0!</v>
      </c>
      <c r="N46" s="21" t="e">
        <f>N10*365/2500/2500/'cbb_table.2001.dat'!$B8*12</f>
        <v>#DIV/0!</v>
      </c>
      <c r="O46" s="21" t="e">
        <f>O10*365/2500/2500/'cbb_table.2001.dat'!$B8*12</f>
        <v>#DIV/0!</v>
      </c>
      <c r="P46" s="21" t="e">
        <f>P10*365/2500/2500/'cbb_table.2001.dat'!$B8*12</f>
        <v>#DIV/0!</v>
      </c>
      <c r="Q46" s="21" t="e">
        <f>Q10*365/2500/2500/'cbb_table.2001.dat'!$B8*12</f>
        <v>#DIV/0!</v>
      </c>
      <c r="R46" s="21" t="e">
        <f>R10*365/2500/2500/'cbb_table.2001.dat'!$B8*12</f>
        <v>#DIV/0!</v>
      </c>
      <c r="S46" s="21" t="e">
        <f>S10*365/2500/2500/'cbb_table.2001.dat'!$B8*12</f>
        <v>#DIV/0!</v>
      </c>
      <c r="T46" s="21" t="e">
        <f>T10*365/2500/2500/'cbb_table.2001.dat'!$B8*12</f>
        <v>#DIV/0!</v>
      </c>
      <c r="U46" s="21" t="e">
        <f>U10*365/2500/2500/'cbb_table.2001.dat'!$B8*12</f>
        <v>#DIV/0!</v>
      </c>
      <c r="V46" s="21" t="e">
        <f>V10*365/2500/2500/'cbb_table.2001.dat'!$B8*12</f>
        <v>#DIV/0!</v>
      </c>
    </row>
    <row r="47" spans="1:22" ht="15.75" thickBot="1" x14ac:dyDescent="0.3">
      <c r="A47" s="6" t="s">
        <v>16</v>
      </c>
      <c r="B47" s="24" t="e">
        <f>B11*365/2500/2500/'cbb_table.2001.dat'!$B2*12</f>
        <v>#DIV/0!</v>
      </c>
      <c r="C47" s="24" t="e">
        <f>C11*365/2500/2500/'cbb_table.2001.dat'!$B2*12</f>
        <v>#DIV/0!</v>
      </c>
      <c r="D47" s="24" t="e">
        <f>D11*365/2500/2500/'cbb_table.2001.dat'!$B2*12</f>
        <v>#DIV/0!</v>
      </c>
      <c r="E47" s="24" t="e">
        <f>E11*365/2500/2500/'cbb_table.2001.dat'!$B2*12</f>
        <v>#DIV/0!</v>
      </c>
      <c r="F47" s="24" t="e">
        <f>F11*365/2500/2500/'cbb_table.2001.dat'!$B2*12</f>
        <v>#DIV/0!</v>
      </c>
      <c r="G47" s="24" t="e">
        <f>G11*365/2500/2500/'cbb_table.2001.dat'!$B2*12</f>
        <v>#DIV/0!</v>
      </c>
      <c r="H47" s="24" t="e">
        <f>H11*365/2500/2500/'cbb_table.2001.dat'!$B2*12</f>
        <v>#DIV/0!</v>
      </c>
      <c r="I47" s="24" t="e">
        <f>I11*365/2500/2500/'cbb_table.2001.dat'!$B2*12</f>
        <v>#DIV/0!</v>
      </c>
      <c r="J47" s="24" t="e">
        <f>J11*365/2500/2500/'cbb_table.2001.dat'!$B2*12</f>
        <v>#DIV/0!</v>
      </c>
      <c r="K47" s="24" t="e">
        <f>K11*365/2500/2500/'cbb_table.2001.dat'!$B2*12</f>
        <v>#DIV/0!</v>
      </c>
      <c r="L47" s="24" t="e">
        <f>L11*365/2500/2500/'cbb_table.2001.dat'!$B2*12</f>
        <v>#DIV/0!</v>
      </c>
      <c r="M47" s="24" t="e">
        <f>M11*365/2500/2500/'cbb_table.2001.dat'!$B2*12</f>
        <v>#DIV/0!</v>
      </c>
      <c r="N47" s="24" t="e">
        <f>N11*365/2500/2500/'cbb_table.2001.dat'!$B2*12</f>
        <v>#DIV/0!</v>
      </c>
      <c r="O47" s="24" t="e">
        <f>O11*365/2500/2500/'cbb_table.2001.dat'!$B2*12</f>
        <v>#DIV/0!</v>
      </c>
      <c r="P47" s="24" t="e">
        <f>P11*365/2500/2500/'cbb_table.2001.dat'!$B2*12</f>
        <v>#DIV/0!</v>
      </c>
      <c r="Q47" s="24" t="e">
        <f>Q11*365/2500/2500/'cbb_table.2001.dat'!$B2*12</f>
        <v>#DIV/0!</v>
      </c>
      <c r="R47" s="24" t="e">
        <f>R11*365/2500/2500/'cbb_table.2001.dat'!$B2*12</f>
        <v>#DIV/0!</v>
      </c>
      <c r="S47" s="24" t="e">
        <f>S11*365/2500/2500/'cbb_table.2001.dat'!$B2*12</f>
        <v>#DIV/0!</v>
      </c>
      <c r="T47" s="24" t="e">
        <f>T11*365/2500/2500/'cbb_table.2001.dat'!$B2*12</f>
        <v>#DIV/0!</v>
      </c>
      <c r="U47" s="24" t="e">
        <f>U11*365/2500/2500/'cbb_table.2001.dat'!$B2*12</f>
        <v>#DIV/0!</v>
      </c>
      <c r="V47" s="24" t="e">
        <f>V11*365/2500/2500/'cbb_table.2001.dat'!$B2*12</f>
        <v>#DIV/0!</v>
      </c>
    </row>
    <row r="48" spans="1:22" x14ac:dyDescent="0.25">
      <c r="A48" t="s">
        <v>17</v>
      </c>
    </row>
  </sheetData>
  <mergeCells count="44">
    <mergeCell ref="J38:K38"/>
    <mergeCell ref="L38:M38"/>
    <mergeCell ref="N38:O38"/>
    <mergeCell ref="P38:Q38"/>
    <mergeCell ref="R38:S38"/>
    <mergeCell ref="T38:V38"/>
    <mergeCell ref="L26:M26"/>
    <mergeCell ref="N26:O26"/>
    <mergeCell ref="P26:Q26"/>
    <mergeCell ref="R26:S26"/>
    <mergeCell ref="T26:V26"/>
    <mergeCell ref="A38:A39"/>
    <mergeCell ref="B38:C38"/>
    <mergeCell ref="D38:E38"/>
    <mergeCell ref="F38:G38"/>
    <mergeCell ref="H38:I38"/>
    <mergeCell ref="A26:A27"/>
    <mergeCell ref="B26:C26"/>
    <mergeCell ref="D26:E26"/>
    <mergeCell ref="F26:G26"/>
    <mergeCell ref="H26:I26"/>
    <mergeCell ref="J26:K26"/>
    <mergeCell ref="J14:K14"/>
    <mergeCell ref="L14:M14"/>
    <mergeCell ref="N14:O14"/>
    <mergeCell ref="P14:Q14"/>
    <mergeCell ref="R14:S14"/>
    <mergeCell ref="T14:V14"/>
    <mergeCell ref="L2:M2"/>
    <mergeCell ref="N2:O2"/>
    <mergeCell ref="P2:Q2"/>
    <mergeCell ref="R2:S2"/>
    <mergeCell ref="T2:V2"/>
    <mergeCell ref="A14:A15"/>
    <mergeCell ref="B14:C14"/>
    <mergeCell ref="D14:E14"/>
    <mergeCell ref="F14:G14"/>
    <mergeCell ref="H14:I14"/>
    <mergeCell ref="J2:K2"/>
    <mergeCell ref="A2:A3"/>
    <mergeCell ref="B2:C2"/>
    <mergeCell ref="D2:E2"/>
    <mergeCell ref="F2:G2"/>
    <mergeCell ref="H2:I2"/>
  </mergeCells>
  <pageMargins left="0.7" right="0.7" top="0.75" bottom="0.75" header="0.3" footer="0.3"/>
  <pageSetup paperSize="3" scale="7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K8" sqref="K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cbb_table.2001.dat</vt:lpstr>
      <vt:lpstr>springflow.table.2001.dat</vt:lpstr>
      <vt:lpstr>WATER BUDGET TABLE 2001</vt:lpstr>
      <vt:lpstr>RUN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wjin</dc:creator>
  <cp:lastModifiedBy>Tim Desmarais</cp:lastModifiedBy>
  <cp:lastPrinted>2018-01-23T03:18:28Z</cp:lastPrinted>
  <dcterms:created xsi:type="dcterms:W3CDTF">2017-04-27T23:51:10Z</dcterms:created>
  <dcterms:modified xsi:type="dcterms:W3CDTF">2018-01-23T04:31:14Z</dcterms:modified>
</cp:coreProperties>
</file>